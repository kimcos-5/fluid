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유체 설계\최적화 계산\Data\"/>
    </mc:Choice>
  </mc:AlternateContent>
  <xr:revisionPtr revIDLastSave="0" documentId="13_ncr:1_{5767FEC9-62CA-4D22-AE03-69928EEA468C}" xr6:coauthVersionLast="47" xr6:coauthVersionMax="47" xr10:uidLastSave="{00000000-0000-0000-0000-000000000000}"/>
  <bookViews>
    <workbookView xWindow="2775" yWindow="4875" windowWidth="26835" windowHeight="16980" activeTab="2" xr2:uid="{00000000-000D-0000-FFFF-FFFF00000000}"/>
  </bookViews>
  <sheets>
    <sheet name="pipe" sheetId="1" r:id="rId1"/>
    <sheet name="joint" sheetId="2" r:id="rId2"/>
    <sheet name="compresso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9" i="1" l="1"/>
  <c r="L18" i="1"/>
  <c r="L17" i="1"/>
  <c r="L16" i="1"/>
  <c r="L15" i="1"/>
  <c r="L14" i="1"/>
  <c r="L12" i="1"/>
  <c r="L11" i="1"/>
  <c r="L10" i="1"/>
  <c r="L9" i="1"/>
  <c r="L8" i="1"/>
  <c r="L7" i="1"/>
  <c r="L6" i="1"/>
  <c r="L5" i="1"/>
  <c r="G24" i="1"/>
  <c r="G23" i="1"/>
  <c r="H22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H24" i="1" l="1"/>
  <c r="H23" i="1"/>
  <c r="H20" i="1"/>
  <c r="H13" i="1"/>
  <c r="H4" i="1"/>
  <c r="H2" i="1"/>
  <c r="H21" i="1"/>
  <c r="H18" i="1"/>
  <c r="H17" i="1"/>
  <c r="H16" i="1"/>
  <c r="H15" i="1"/>
  <c r="H12" i="1"/>
  <c r="H11" i="1"/>
  <c r="H10" i="1"/>
  <c r="H9" i="1"/>
  <c r="H8" i="1"/>
  <c r="H7" i="1"/>
  <c r="H6" i="1"/>
  <c r="H19" i="1"/>
  <c r="H5" i="1"/>
  <c r="H3" i="1"/>
  <c r="H14" i="1"/>
</calcChain>
</file>

<file path=xl/sharedStrings.xml><?xml version="1.0" encoding="utf-8"?>
<sst xmlns="http://schemas.openxmlformats.org/spreadsheetml/2006/main" count="447" uniqueCount="190">
  <si>
    <t>가격</t>
    <phoneticPr fontId="1" type="noConversion"/>
  </si>
  <si>
    <t>심볼</t>
    <phoneticPr fontId="1" type="noConversion"/>
  </si>
  <si>
    <t>50A</t>
    <phoneticPr fontId="1" type="noConversion"/>
  </si>
  <si>
    <t>65A</t>
    <phoneticPr fontId="1" type="noConversion"/>
  </si>
  <si>
    <t>80A</t>
    <phoneticPr fontId="1" type="noConversion"/>
  </si>
  <si>
    <t>100A</t>
    <phoneticPr fontId="1" type="noConversion"/>
  </si>
  <si>
    <t>125A</t>
    <phoneticPr fontId="1" type="noConversion"/>
  </si>
  <si>
    <t>규격</t>
    <phoneticPr fontId="1" type="noConversion"/>
  </si>
  <si>
    <t>6A</t>
    <phoneticPr fontId="1" type="noConversion"/>
  </si>
  <si>
    <t>8A</t>
    <phoneticPr fontId="1" type="noConversion"/>
  </si>
  <si>
    <t>15A</t>
    <phoneticPr fontId="1" type="noConversion"/>
  </si>
  <si>
    <t>20A</t>
    <phoneticPr fontId="1" type="noConversion"/>
  </si>
  <si>
    <t>25A</t>
    <phoneticPr fontId="1" type="noConversion"/>
  </si>
  <si>
    <t>32A</t>
    <phoneticPr fontId="1" type="noConversion"/>
  </si>
  <si>
    <t>40A</t>
    <phoneticPr fontId="1" type="noConversion"/>
  </si>
  <si>
    <t>90A</t>
    <phoneticPr fontId="1" type="noConversion"/>
  </si>
  <si>
    <t>150A</t>
    <phoneticPr fontId="1" type="noConversion"/>
  </si>
  <si>
    <t>200A</t>
    <phoneticPr fontId="1" type="noConversion"/>
  </si>
  <si>
    <t>250A</t>
    <phoneticPr fontId="1" type="noConversion"/>
  </si>
  <si>
    <t>300A</t>
    <phoneticPr fontId="1" type="noConversion"/>
  </si>
  <si>
    <t>350A</t>
    <phoneticPr fontId="1" type="noConversion"/>
  </si>
  <si>
    <t>400A</t>
    <phoneticPr fontId="1" type="noConversion"/>
  </si>
  <si>
    <t>450A</t>
    <phoneticPr fontId="1" type="noConversion"/>
  </si>
  <si>
    <t>500A</t>
    <phoneticPr fontId="1" type="noConversion"/>
  </si>
  <si>
    <t>550A</t>
    <phoneticPr fontId="1" type="noConversion"/>
  </si>
  <si>
    <t>바깥지름(mm)</t>
    <phoneticPr fontId="1" type="noConversion"/>
  </si>
  <si>
    <t>10A</t>
    <phoneticPr fontId="1" type="noConversion"/>
  </si>
  <si>
    <t>수압시험압력(kg/cm^2)</t>
    <phoneticPr fontId="1" type="noConversion"/>
  </si>
  <si>
    <t>두께(mm)</t>
    <phoneticPr fontId="1" type="noConversion"/>
  </si>
  <si>
    <t>단중(kg/m)</t>
    <phoneticPr fontId="1" type="noConversion"/>
  </si>
  <si>
    <t>내경(mm)</t>
    <phoneticPr fontId="1" type="noConversion"/>
  </si>
  <si>
    <t>내경(m)</t>
    <phoneticPr fontId="1" type="noConversion"/>
  </si>
  <si>
    <t>세아제강_SPPS_10.5_sch40_6A</t>
    <phoneticPr fontId="1" type="noConversion"/>
  </si>
  <si>
    <t>세아제강_SPPS_10.5_sch40_8A</t>
    <phoneticPr fontId="1" type="noConversion"/>
  </si>
  <si>
    <t>세아제강_SPPS_10.5_sch40_10A</t>
    <phoneticPr fontId="1" type="noConversion"/>
  </si>
  <si>
    <t>세아제강_SPPS_10.5_sch40_15A</t>
    <phoneticPr fontId="1" type="noConversion"/>
  </si>
  <si>
    <t>세아제강_SPPS_10.5_sch40_25A</t>
    <phoneticPr fontId="1" type="noConversion"/>
  </si>
  <si>
    <t>세아제강_SPPS_10.5_sch40_20A</t>
    <phoneticPr fontId="1" type="noConversion"/>
  </si>
  <si>
    <t>세아제강_SPPS_10.5_sch40_32A</t>
    <phoneticPr fontId="1" type="noConversion"/>
  </si>
  <si>
    <t>세아제강_SPPS_10.5_sch40_40A</t>
    <phoneticPr fontId="1" type="noConversion"/>
  </si>
  <si>
    <t>세아제강_SPPS_10.5_sch40_50A</t>
    <phoneticPr fontId="1" type="noConversion"/>
  </si>
  <si>
    <t>세아제강_SPPS_10.5_sch40_65A</t>
    <phoneticPr fontId="1" type="noConversion"/>
  </si>
  <si>
    <t>세아제강_SPPS_10.5_sch40_80A</t>
    <phoneticPr fontId="1" type="noConversion"/>
  </si>
  <si>
    <t>세아제강_SPPS_10.5_sch40_90A</t>
    <phoneticPr fontId="1" type="noConversion"/>
  </si>
  <si>
    <t>세아제강_SPPS_10.5_sch40_100A</t>
    <phoneticPr fontId="1" type="noConversion"/>
  </si>
  <si>
    <t>세아제강_SPPS_10.5_sch40_125A</t>
    <phoneticPr fontId="1" type="noConversion"/>
  </si>
  <si>
    <t>세아제강_SPPS_10.5_sch40_150A</t>
    <phoneticPr fontId="1" type="noConversion"/>
  </si>
  <si>
    <t>세아제강_SPPS_10.5_sch40_200A</t>
    <phoneticPr fontId="1" type="noConversion"/>
  </si>
  <si>
    <t>세아제강_SPPS_10.5_sch40_250A</t>
    <phoneticPr fontId="1" type="noConversion"/>
  </si>
  <si>
    <t>세아제강_SPPS_10.5_sch40_300A</t>
    <phoneticPr fontId="1" type="noConversion"/>
  </si>
  <si>
    <t>세아제강_SPPS_10.5_sch40_350A</t>
    <phoneticPr fontId="1" type="noConversion"/>
  </si>
  <si>
    <t>세아제강_SPPS_10.5_sch40_400A</t>
    <phoneticPr fontId="1" type="noConversion"/>
  </si>
  <si>
    <t>세아제강_SPPS_10.5_sch40_450A</t>
    <phoneticPr fontId="1" type="noConversion"/>
  </si>
  <si>
    <t>세아제강_SPPS_10.5_sch40_500A</t>
    <phoneticPr fontId="1" type="noConversion"/>
  </si>
  <si>
    <t>세아제강_SPPS_10.5_sch40_550A</t>
    <phoneticPr fontId="1" type="noConversion"/>
  </si>
  <si>
    <t>입실론(m)</t>
    <phoneticPr fontId="1" type="noConversion"/>
  </si>
  <si>
    <t>가격출처</t>
    <phoneticPr fontId="1" type="noConversion"/>
  </si>
  <si>
    <t>https://www.navimro.com/g/1741795/</t>
  </si>
  <si>
    <t>판매가(세금별도) * 6M</t>
    <phoneticPr fontId="1" type="noConversion"/>
  </si>
  <si>
    <t>가격/길이</t>
    <phoneticPr fontId="1" type="noConversion"/>
  </si>
  <si>
    <t>백용접엘보_90도_SCH40_15A</t>
    <phoneticPr fontId="1" type="noConversion"/>
  </si>
  <si>
    <t>외경(mm)</t>
    <phoneticPr fontId="1" type="noConversion"/>
  </si>
  <si>
    <t>https://www.navimro.com/g/41577/</t>
  </si>
  <si>
    <t>부품</t>
    <phoneticPr fontId="1" type="noConversion"/>
  </si>
  <si>
    <t>백용접엘보_90도_SCH40_20A</t>
    <phoneticPr fontId="1" type="noConversion"/>
  </si>
  <si>
    <t>백용접엘보_90도_SCH40_25A</t>
    <phoneticPr fontId="1" type="noConversion"/>
  </si>
  <si>
    <t>백용접엘보_90도_SCH40_32A</t>
    <phoneticPr fontId="1" type="noConversion"/>
  </si>
  <si>
    <t>백용접엘보_90도_SCH40_40A</t>
    <phoneticPr fontId="1" type="noConversion"/>
  </si>
  <si>
    <t>백용접엘보_90도_SCH40_50A</t>
    <phoneticPr fontId="1" type="noConversion"/>
  </si>
  <si>
    <t>백용접엘보_90도_SCH40_65A</t>
    <phoneticPr fontId="1" type="noConversion"/>
  </si>
  <si>
    <t>백용접엘보_90도_SCH40_80A</t>
    <phoneticPr fontId="1" type="noConversion"/>
  </si>
  <si>
    <t>백용접엘보_90도_SCH40_100A</t>
    <phoneticPr fontId="1" type="noConversion"/>
  </si>
  <si>
    <t>백용접엘보_90도_SCH40_125A</t>
    <phoneticPr fontId="1" type="noConversion"/>
  </si>
  <si>
    <t>백용접엘보_90도_SCH40_150A</t>
    <phoneticPr fontId="1" type="noConversion"/>
  </si>
  <si>
    <t>백용접엘보_90도_SCH40_200A</t>
    <phoneticPr fontId="1" type="noConversion"/>
  </si>
  <si>
    <t>백용접엘보_90도_SCH40_250A</t>
    <phoneticPr fontId="1" type="noConversion"/>
  </si>
  <si>
    <t>백용접엘보_90도_SCH40_300A</t>
    <phoneticPr fontId="1" type="noConversion"/>
  </si>
  <si>
    <t>백용접엘보_90도_SCH40_350A</t>
    <phoneticPr fontId="1" type="noConversion"/>
  </si>
  <si>
    <t>백용접엘보_90도_SCH40_400A</t>
    <phoneticPr fontId="1" type="noConversion"/>
  </si>
  <si>
    <t>gate_valve</t>
    <phoneticPr fontId="1" type="noConversion"/>
  </si>
  <si>
    <t>주철바깥나사게이트밸브_10K_40A</t>
    <phoneticPr fontId="1" type="noConversion"/>
  </si>
  <si>
    <t>주철바깥나사게이트밸브_10K_50A</t>
    <phoneticPr fontId="1" type="noConversion"/>
  </si>
  <si>
    <t>주철바깥나사게이트밸브_10K_65A</t>
    <phoneticPr fontId="1" type="noConversion"/>
  </si>
  <si>
    <t>주철바깥나사게이트밸브_10K_80A</t>
    <phoneticPr fontId="1" type="noConversion"/>
  </si>
  <si>
    <t>주철바깥나사게이트밸브_10K_100A</t>
    <phoneticPr fontId="1" type="noConversion"/>
  </si>
  <si>
    <t>주철바깥나사게이트밸브_10K_125A</t>
    <phoneticPr fontId="1" type="noConversion"/>
  </si>
  <si>
    <t>주철바깥나사게이트밸브_10K_150A</t>
    <phoneticPr fontId="1" type="noConversion"/>
  </si>
  <si>
    <t>주철바깥나사게이트밸브_10K_200A</t>
    <phoneticPr fontId="1" type="noConversion"/>
  </si>
  <si>
    <t>주철바깥나사게이트밸브_10K_250A</t>
    <phoneticPr fontId="1" type="noConversion"/>
  </si>
  <si>
    <t>주철바깥나사게이트밸브_10K_300A</t>
    <phoneticPr fontId="1" type="noConversion"/>
  </si>
  <si>
    <t>https://www.navimro.com/g/1808129/</t>
  </si>
  <si>
    <t>https://www.navimro.com/g/41577/</t>
    <phoneticPr fontId="1" type="noConversion"/>
  </si>
  <si>
    <t>주철앵글밸브_10K_25A</t>
    <phoneticPr fontId="1" type="noConversion"/>
  </si>
  <si>
    <t>https://www.navimro.com/g/1808129/</t>
    <phoneticPr fontId="1" type="noConversion"/>
  </si>
  <si>
    <t>angle_valve</t>
    <phoneticPr fontId="1" type="noConversion"/>
  </si>
  <si>
    <t>주철앵글밸브_10K_40A</t>
    <phoneticPr fontId="1" type="noConversion"/>
  </si>
  <si>
    <t>주철앵글밸브_10K_50A</t>
    <phoneticPr fontId="1" type="noConversion"/>
  </si>
  <si>
    <t>주철앵글밸브_10K_65A</t>
    <phoneticPr fontId="1" type="noConversion"/>
  </si>
  <si>
    <t>주철앵글밸브_10K_80A</t>
    <phoneticPr fontId="1" type="noConversion"/>
  </si>
  <si>
    <t>주철앵글밸브_10K_100A</t>
    <phoneticPr fontId="1" type="noConversion"/>
  </si>
  <si>
    <t>주철앵글밸브_10K_125A</t>
    <phoneticPr fontId="1" type="noConversion"/>
  </si>
  <si>
    <t>주철앵글밸브_10K_150A</t>
    <phoneticPr fontId="1" type="noConversion"/>
  </si>
  <si>
    <t>주철앵글밸브_10K_200A</t>
    <phoneticPr fontId="1" type="noConversion"/>
  </si>
  <si>
    <t>https://www.navimro.com/g/15139/</t>
  </si>
  <si>
    <t>최대작동압력(bar)</t>
    <phoneticPr fontId="1" type="noConversion"/>
  </si>
  <si>
    <t>GA 5 VSD_4bar</t>
    <phoneticPr fontId="1" type="noConversion"/>
  </si>
  <si>
    <t>GA 5 VSD_7bar</t>
    <phoneticPr fontId="1" type="noConversion"/>
  </si>
  <si>
    <t>GA 5 VSD_10bar</t>
    <phoneticPr fontId="1" type="noConversion"/>
  </si>
  <si>
    <t>GA 5 VSD_13bar</t>
    <phoneticPr fontId="1" type="noConversion"/>
  </si>
  <si>
    <t>장착 모터 동력</t>
    <phoneticPr fontId="1" type="noConversion"/>
  </si>
  <si>
    <t>GA 7 VSD_4bar</t>
    <phoneticPr fontId="1" type="noConversion"/>
  </si>
  <si>
    <t>GA 7 VSD_7bar</t>
    <phoneticPr fontId="1" type="noConversion"/>
  </si>
  <si>
    <t>GA 7 VSD_10bar</t>
    <phoneticPr fontId="1" type="noConversion"/>
  </si>
  <si>
    <t>GA 7 VSD_13bar</t>
    <phoneticPr fontId="1" type="noConversion"/>
  </si>
  <si>
    <t>운전 소음(dB)</t>
    <phoneticPr fontId="1" type="noConversion"/>
  </si>
  <si>
    <t>GA 11 VSD_13bar</t>
    <phoneticPr fontId="1" type="noConversion"/>
  </si>
  <si>
    <t>GA 11 VSD_4bar</t>
    <phoneticPr fontId="1" type="noConversion"/>
  </si>
  <si>
    <t>GA 11 VSD_7bar</t>
    <phoneticPr fontId="1" type="noConversion"/>
  </si>
  <si>
    <t>GA 11 VSD_10bar</t>
    <phoneticPr fontId="1" type="noConversion"/>
  </si>
  <si>
    <t>GA 15 VSD_4bar</t>
    <phoneticPr fontId="1" type="noConversion"/>
  </si>
  <si>
    <t>GA 15 VSD_7bar</t>
    <phoneticPr fontId="1" type="noConversion"/>
  </si>
  <si>
    <t>GA 15 VSD_10bar</t>
    <phoneticPr fontId="1" type="noConversion"/>
  </si>
  <si>
    <t>GA 15 VSD_13bar</t>
    <phoneticPr fontId="1" type="noConversion"/>
  </si>
  <si>
    <t>GA 18 VSD_4bar</t>
    <phoneticPr fontId="1" type="noConversion"/>
  </si>
  <si>
    <t>GA18 VSD_7bar</t>
    <phoneticPr fontId="1" type="noConversion"/>
  </si>
  <si>
    <t>GA 18 VSD_10bar</t>
    <phoneticPr fontId="1" type="noConversion"/>
  </si>
  <si>
    <t>GA 18 VSD_13bar</t>
    <phoneticPr fontId="1" type="noConversion"/>
  </si>
  <si>
    <t>GA 22 VSD_4bar</t>
    <phoneticPr fontId="1" type="noConversion"/>
  </si>
  <si>
    <t>GA 22 VSD_7bar</t>
    <phoneticPr fontId="1" type="noConversion"/>
  </si>
  <si>
    <t>GA 22 VSD_10bar</t>
    <phoneticPr fontId="1" type="noConversion"/>
  </si>
  <si>
    <t>GA 22 VSD_13bar</t>
    <phoneticPr fontId="1" type="noConversion"/>
  </si>
  <si>
    <t>GA 26 VSD_4bar</t>
    <phoneticPr fontId="1" type="noConversion"/>
  </si>
  <si>
    <t>GA 26 VSD_7bar</t>
    <phoneticPr fontId="1" type="noConversion"/>
  </si>
  <si>
    <t>GA 26 VSD_10bar</t>
    <phoneticPr fontId="1" type="noConversion"/>
  </si>
  <si>
    <t>GA 26 VSD_13bar</t>
    <phoneticPr fontId="1" type="noConversion"/>
  </si>
  <si>
    <t>GA 30 VSD_4bar</t>
    <phoneticPr fontId="1" type="noConversion"/>
  </si>
  <si>
    <t>GA 30 VSD_7bar</t>
    <phoneticPr fontId="1" type="noConversion"/>
  </si>
  <si>
    <t>GA 30 VSD_10bar</t>
    <phoneticPr fontId="1" type="noConversion"/>
  </si>
  <si>
    <t>GA 30 VSD_13bar</t>
    <phoneticPr fontId="1" type="noConversion"/>
  </si>
  <si>
    <t>GA 37 VSD_4bar</t>
    <phoneticPr fontId="1" type="noConversion"/>
  </si>
  <si>
    <t>GA 37 VSD_7bar</t>
    <phoneticPr fontId="1" type="noConversion"/>
  </si>
  <si>
    <t>GA 37 VSD_10bar</t>
    <phoneticPr fontId="1" type="noConversion"/>
  </si>
  <si>
    <t>GA 37 VSD_13bar</t>
    <phoneticPr fontId="1" type="noConversion"/>
  </si>
  <si>
    <t>https://www.navimro.com/g/15139/</t>
    <phoneticPr fontId="1" type="noConversion"/>
  </si>
  <si>
    <t>가격 출처</t>
    <phoneticPr fontId="1" type="noConversion"/>
  </si>
  <si>
    <t>https://www.alibaba.com/product-detail/G-GA-GA-VSD-VSD-Atlas_1601026198767.html?spm=a2700.prosearch.normal_offer.d_title.18cc67af1hS8lx&amp;priceId=9672a55627a94884987ea40bbafbe62e</t>
  </si>
  <si>
    <t>최소생산유량(m^3/h)</t>
    <phoneticPr fontId="1" type="noConversion"/>
  </si>
  <si>
    <t>최대생산유량(m^3/h)</t>
    <phoneticPr fontId="1" type="noConversion"/>
  </si>
  <si>
    <t>elbow_90</t>
    <phoneticPr fontId="1" type="noConversion"/>
  </si>
  <si>
    <t>https://www.navimro.com/g/41581/</t>
  </si>
  <si>
    <t>tee</t>
    <phoneticPr fontId="1" type="noConversion"/>
  </si>
  <si>
    <t>백용접티_SCH/40_40A</t>
    <phoneticPr fontId="1" type="noConversion"/>
  </si>
  <si>
    <t>백용접티_SCH/40_50A</t>
    <phoneticPr fontId="1" type="noConversion"/>
  </si>
  <si>
    <t>백용접티_SCH/40_65A</t>
    <phoneticPr fontId="1" type="noConversion"/>
  </si>
  <si>
    <t>백용접티_SCH/40_80A</t>
    <phoneticPr fontId="1" type="noConversion"/>
  </si>
  <si>
    <t>백용접티_SCH/40_100A</t>
    <phoneticPr fontId="1" type="noConversion"/>
  </si>
  <si>
    <t>백용접티_SCH/40_125A</t>
    <phoneticPr fontId="1" type="noConversion"/>
  </si>
  <si>
    <t>백용접티_SCH/40_150A</t>
    <phoneticPr fontId="1" type="noConversion"/>
  </si>
  <si>
    <t>백용접티_SCH/40_200A</t>
    <phoneticPr fontId="1" type="noConversion"/>
  </si>
  <si>
    <t>백용접티_SCH/40_250A</t>
    <phoneticPr fontId="1" type="noConversion"/>
  </si>
  <si>
    <t>백용접티_SCH/40_300A</t>
    <phoneticPr fontId="1" type="noConversion"/>
  </si>
  <si>
    <t>백용접티_SCH/40_350A</t>
    <phoneticPr fontId="1" type="noConversion"/>
  </si>
  <si>
    <t>백용접티_SCH/40_400A</t>
    <phoneticPr fontId="1" type="noConversion"/>
  </si>
  <si>
    <t>swing_check_valve</t>
    <phoneticPr fontId="1" type="noConversion"/>
  </si>
  <si>
    <t>주철스윙체크밸브_10K_40A</t>
    <phoneticPr fontId="1" type="noConversion"/>
  </si>
  <si>
    <t>주철스윙체크밸브_10K_50A</t>
    <phoneticPr fontId="1" type="noConversion"/>
  </si>
  <si>
    <t>주철스윙체크밸브_10K_65A</t>
    <phoneticPr fontId="1" type="noConversion"/>
  </si>
  <si>
    <t>주철스윙체크밸브_10K_80A</t>
    <phoneticPr fontId="1" type="noConversion"/>
  </si>
  <si>
    <t>주철스윙체크밸브_10K_100A</t>
    <phoneticPr fontId="1" type="noConversion"/>
  </si>
  <si>
    <t>주철스윙체크밸브_10K_125A</t>
    <phoneticPr fontId="1" type="noConversion"/>
  </si>
  <si>
    <t>주철스윙체크밸브_10K_150A</t>
    <phoneticPr fontId="1" type="noConversion"/>
  </si>
  <si>
    <t>주철스윙체크밸브_10K_200A</t>
    <phoneticPr fontId="1" type="noConversion"/>
  </si>
  <si>
    <t>주철스윙체크밸브_10K_250A</t>
    <phoneticPr fontId="1" type="noConversion"/>
  </si>
  <si>
    <t>주철스윙체크밸브_10K_300A</t>
    <phoneticPr fontId="1" type="noConversion"/>
  </si>
  <si>
    <t>https://www.navimro.com/g/43184/</t>
  </si>
  <si>
    <t>https://www.navimro.com/g/309671/</t>
  </si>
  <si>
    <t>drain_valve</t>
    <phoneticPr fontId="1" type="noConversion"/>
  </si>
  <si>
    <t>퇴수밸브</t>
    <phoneticPr fontId="1" type="noConversion"/>
  </si>
  <si>
    <t>https://www.navimro.com/g/108795/</t>
  </si>
  <si>
    <t>support</t>
    <phoneticPr fontId="1" type="noConversion"/>
  </si>
  <si>
    <t>앙카슈(강관용)_40A</t>
    <phoneticPr fontId="1" type="noConversion"/>
  </si>
  <si>
    <t>앙카슈(강관용)_50A</t>
    <phoneticPr fontId="1" type="noConversion"/>
  </si>
  <si>
    <t>앙카슈(강관용)_65A</t>
    <phoneticPr fontId="1" type="noConversion"/>
  </si>
  <si>
    <t>앙카슈(강관용)_80A</t>
    <phoneticPr fontId="1" type="noConversion"/>
  </si>
  <si>
    <t>앙카슈(강관용)_100A</t>
    <phoneticPr fontId="1" type="noConversion"/>
  </si>
  <si>
    <t>앙카슈(강관용)_125A</t>
    <phoneticPr fontId="1" type="noConversion"/>
  </si>
  <si>
    <t>앙카슈(강관용)_150A</t>
    <phoneticPr fontId="1" type="noConversion"/>
  </si>
  <si>
    <t>앙카슈(강관용)_200A</t>
    <phoneticPr fontId="1" type="noConversion"/>
  </si>
  <si>
    <t>앙카슈(강관용)_250A</t>
    <phoneticPr fontId="1" type="noConversion"/>
  </si>
  <si>
    <t>앙카슈(강관용)_300A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</si>
</sst>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avimro.com/g/41577/" TargetMode="External"/><Relationship Id="rId2" Type="http://schemas.openxmlformats.org/officeDocument/2006/relationships/hyperlink" Target="https://www.navimro.com/g/1808129/" TargetMode="External"/><Relationship Id="rId1" Type="http://schemas.openxmlformats.org/officeDocument/2006/relationships/hyperlink" Target="https://www.navimro.com/g/41577/" TargetMode="External"/><Relationship Id="rId5" Type="http://schemas.openxmlformats.org/officeDocument/2006/relationships/hyperlink" Target="https://www.navimro.com/g/15139/" TargetMode="External"/><Relationship Id="rId4" Type="http://schemas.openxmlformats.org/officeDocument/2006/relationships/hyperlink" Target="https://www.navimro.com/g/180812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workbookViewId="0">
      <selection activeCell="H7" sqref="H7"/>
    </sheetView>
  </sheetViews>
  <sheetFormatPr defaultRowHeight="16.5" x14ac:dyDescent="0.3"/>
  <cols>
    <col min="1" max="1" width="30.625" customWidth="1"/>
    <col min="2" max="2" width="11.125" customWidth="1"/>
    <col min="3" max="3" width="22" customWidth="1"/>
    <col min="6" max="6" width="15.625" customWidth="1"/>
    <col min="9" max="9" width="12.375" customWidth="1"/>
    <col min="10" max="10" width="39" customWidth="1"/>
    <col min="11" max="11" width="20.75" customWidth="1"/>
  </cols>
  <sheetData>
    <row r="1" spans="1:12" x14ac:dyDescent="0.3">
      <c r="A1" t="s">
        <v>1</v>
      </c>
      <c r="B1" t="s">
        <v>7</v>
      </c>
      <c r="C1" t="s">
        <v>25</v>
      </c>
      <c r="D1" t="s">
        <v>28</v>
      </c>
      <c r="E1" t="s">
        <v>29</v>
      </c>
      <c r="F1" t="s">
        <v>27</v>
      </c>
      <c r="G1" t="s">
        <v>30</v>
      </c>
      <c r="H1" t="s">
        <v>31</v>
      </c>
      <c r="I1" t="s">
        <v>55</v>
      </c>
      <c r="J1" t="s">
        <v>56</v>
      </c>
      <c r="K1" t="s">
        <v>58</v>
      </c>
      <c r="L1" t="s">
        <v>59</v>
      </c>
    </row>
    <row r="2" spans="1:12" x14ac:dyDescent="0.3">
      <c r="A2" t="s">
        <v>32</v>
      </c>
      <c r="B2" t="s">
        <v>8</v>
      </c>
      <c r="C2">
        <v>10.5</v>
      </c>
      <c r="D2">
        <v>1.7</v>
      </c>
      <c r="E2">
        <v>0.36899999999999999</v>
      </c>
      <c r="F2">
        <v>60</v>
      </c>
      <c r="G2">
        <f>C2-2*D2</f>
        <v>7.1</v>
      </c>
      <c r="H2">
        <f>G2/1000</f>
        <v>7.0999999999999995E-3</v>
      </c>
      <c r="I2">
        <v>4.6E-5</v>
      </c>
      <c r="J2" t="s">
        <v>57</v>
      </c>
    </row>
    <row r="3" spans="1:12" x14ac:dyDescent="0.3">
      <c r="A3" t="s">
        <v>33</v>
      </c>
      <c r="B3" t="s">
        <v>9</v>
      </c>
      <c r="C3">
        <v>13.8</v>
      </c>
      <c r="D3">
        <v>2.2000000000000002</v>
      </c>
      <c r="E3">
        <v>0.629</v>
      </c>
      <c r="F3">
        <v>60</v>
      </c>
      <c r="G3">
        <f t="shared" ref="G3:G24" si="0">C3-2*D3</f>
        <v>9.4</v>
      </c>
      <c r="H3">
        <f t="shared" ref="H3:H24" si="1">G3/1000</f>
        <v>9.4000000000000004E-3</v>
      </c>
      <c r="I3">
        <v>4.6E-5</v>
      </c>
      <c r="J3" t="s">
        <v>57</v>
      </c>
    </row>
    <row r="4" spans="1:12" x14ac:dyDescent="0.3">
      <c r="A4" t="s">
        <v>34</v>
      </c>
      <c r="B4" t="s">
        <v>26</v>
      </c>
      <c r="C4">
        <v>17.3</v>
      </c>
      <c r="D4">
        <v>2.2999999999999998</v>
      </c>
      <c r="E4">
        <v>0.85099999999999998</v>
      </c>
      <c r="F4">
        <v>60</v>
      </c>
      <c r="G4">
        <f t="shared" si="0"/>
        <v>12.700000000000001</v>
      </c>
      <c r="H4">
        <f t="shared" si="1"/>
        <v>1.2700000000000001E-2</v>
      </c>
      <c r="I4">
        <v>4.6E-5</v>
      </c>
      <c r="J4" t="s">
        <v>57</v>
      </c>
    </row>
    <row r="5" spans="1:12" x14ac:dyDescent="0.3">
      <c r="A5" t="s">
        <v>35</v>
      </c>
      <c r="B5" t="s">
        <v>10</v>
      </c>
      <c r="C5">
        <v>21.7</v>
      </c>
      <c r="D5">
        <v>2.8</v>
      </c>
      <c r="E5">
        <v>1.31</v>
      </c>
      <c r="F5">
        <v>60</v>
      </c>
      <c r="G5">
        <f t="shared" si="0"/>
        <v>16.100000000000001</v>
      </c>
      <c r="H5">
        <f t="shared" si="1"/>
        <v>1.61E-2</v>
      </c>
      <c r="I5">
        <v>4.6E-5</v>
      </c>
      <c r="J5" t="s">
        <v>57</v>
      </c>
      <c r="K5">
        <v>20990</v>
      </c>
      <c r="L5">
        <f t="shared" ref="L5:L12" si="2">K5/6</f>
        <v>3498.3333333333335</v>
      </c>
    </row>
    <row r="6" spans="1:12" x14ac:dyDescent="0.3">
      <c r="A6" t="s">
        <v>37</v>
      </c>
      <c r="B6" t="s">
        <v>11</v>
      </c>
      <c r="C6">
        <v>27.2</v>
      </c>
      <c r="D6">
        <v>2.9</v>
      </c>
      <c r="E6">
        <v>1.74</v>
      </c>
      <c r="F6">
        <v>60</v>
      </c>
      <c r="G6">
        <f t="shared" si="0"/>
        <v>21.4</v>
      </c>
      <c r="H6">
        <f t="shared" si="1"/>
        <v>2.1399999999999999E-2</v>
      </c>
      <c r="I6">
        <v>4.6E-5</v>
      </c>
      <c r="J6" t="s">
        <v>57</v>
      </c>
      <c r="K6">
        <v>23990</v>
      </c>
      <c r="L6">
        <f t="shared" si="2"/>
        <v>3998.3333333333335</v>
      </c>
    </row>
    <row r="7" spans="1:12" x14ac:dyDescent="0.3">
      <c r="A7" t="s">
        <v>36</v>
      </c>
      <c r="B7" t="s">
        <v>12</v>
      </c>
      <c r="C7">
        <v>34</v>
      </c>
      <c r="D7">
        <v>3.4</v>
      </c>
      <c r="E7">
        <v>2.57</v>
      </c>
      <c r="F7">
        <v>60</v>
      </c>
      <c r="G7">
        <f t="shared" si="0"/>
        <v>27.2</v>
      </c>
      <c r="H7">
        <f t="shared" si="1"/>
        <v>2.7199999999999998E-2</v>
      </c>
      <c r="I7">
        <v>4.6E-5</v>
      </c>
      <c r="J7" t="s">
        <v>57</v>
      </c>
      <c r="K7">
        <v>33990</v>
      </c>
      <c r="L7">
        <f t="shared" si="2"/>
        <v>5665</v>
      </c>
    </row>
    <row r="8" spans="1:12" x14ac:dyDescent="0.3">
      <c r="A8" t="s">
        <v>38</v>
      </c>
      <c r="B8" t="s">
        <v>13</v>
      </c>
      <c r="C8">
        <v>42.7</v>
      </c>
      <c r="D8">
        <v>3.6</v>
      </c>
      <c r="E8">
        <v>3.47</v>
      </c>
      <c r="F8">
        <v>60</v>
      </c>
      <c r="G8">
        <f t="shared" si="0"/>
        <v>35.5</v>
      </c>
      <c r="H8">
        <f t="shared" si="1"/>
        <v>3.5499999999999997E-2</v>
      </c>
      <c r="I8">
        <v>4.6E-5</v>
      </c>
      <c r="J8" t="s">
        <v>57</v>
      </c>
      <c r="K8">
        <v>44990</v>
      </c>
      <c r="L8">
        <f t="shared" si="2"/>
        <v>7498.333333333333</v>
      </c>
    </row>
    <row r="9" spans="1:12" x14ac:dyDescent="0.3">
      <c r="A9" t="s">
        <v>39</v>
      </c>
      <c r="B9" t="s">
        <v>14</v>
      </c>
      <c r="C9">
        <v>48.6</v>
      </c>
      <c r="D9">
        <v>3.7</v>
      </c>
      <c r="E9">
        <v>4.0999999999999996</v>
      </c>
      <c r="F9">
        <v>60</v>
      </c>
      <c r="G9">
        <f t="shared" si="0"/>
        <v>41.2</v>
      </c>
      <c r="H9">
        <f t="shared" si="1"/>
        <v>4.1200000000000001E-2</v>
      </c>
      <c r="I9">
        <v>4.6E-5</v>
      </c>
      <c r="J9" t="s">
        <v>57</v>
      </c>
      <c r="K9">
        <v>51990</v>
      </c>
      <c r="L9">
        <f t="shared" si="2"/>
        <v>8665</v>
      </c>
    </row>
    <row r="10" spans="1:12" x14ac:dyDescent="0.3">
      <c r="A10" t="s">
        <v>40</v>
      </c>
      <c r="B10" t="s">
        <v>2</v>
      </c>
      <c r="C10">
        <v>60.5</v>
      </c>
      <c r="D10">
        <v>3.9</v>
      </c>
      <c r="E10">
        <v>5.44</v>
      </c>
      <c r="F10">
        <v>60</v>
      </c>
      <c r="G10">
        <f t="shared" si="0"/>
        <v>52.7</v>
      </c>
      <c r="H10">
        <f t="shared" si="1"/>
        <v>5.2700000000000004E-2</v>
      </c>
      <c r="I10">
        <v>4.6E-5</v>
      </c>
      <c r="J10" t="s">
        <v>57</v>
      </c>
      <c r="K10">
        <v>68990</v>
      </c>
      <c r="L10">
        <f t="shared" si="2"/>
        <v>11498.333333333334</v>
      </c>
    </row>
    <row r="11" spans="1:12" x14ac:dyDescent="0.3">
      <c r="A11" t="s">
        <v>41</v>
      </c>
      <c r="B11" t="s">
        <v>3</v>
      </c>
      <c r="C11">
        <v>76.3</v>
      </c>
      <c r="D11">
        <v>5.2</v>
      </c>
      <c r="E11">
        <v>9.1199999999999992</v>
      </c>
      <c r="F11">
        <v>60</v>
      </c>
      <c r="G11">
        <f t="shared" si="0"/>
        <v>65.899999999999991</v>
      </c>
      <c r="H11">
        <f t="shared" si="1"/>
        <v>6.5899999999999986E-2</v>
      </c>
      <c r="I11">
        <v>4.6E-5</v>
      </c>
      <c r="J11" t="s">
        <v>57</v>
      </c>
      <c r="K11">
        <v>109990</v>
      </c>
      <c r="L11">
        <f t="shared" si="2"/>
        <v>18331.666666666668</v>
      </c>
    </row>
    <row r="12" spans="1:12" x14ac:dyDescent="0.3">
      <c r="A12" t="s">
        <v>42</v>
      </c>
      <c r="B12" t="s">
        <v>4</v>
      </c>
      <c r="C12">
        <v>89.1</v>
      </c>
      <c r="D12">
        <v>5.5</v>
      </c>
      <c r="E12">
        <v>11.3</v>
      </c>
      <c r="F12">
        <v>60</v>
      </c>
      <c r="G12">
        <f t="shared" si="0"/>
        <v>78.099999999999994</v>
      </c>
      <c r="H12">
        <f t="shared" si="1"/>
        <v>7.8099999999999989E-2</v>
      </c>
      <c r="I12">
        <v>4.6E-5</v>
      </c>
      <c r="J12" t="s">
        <v>57</v>
      </c>
      <c r="K12">
        <v>149990</v>
      </c>
      <c r="L12">
        <f t="shared" si="2"/>
        <v>24998.333333333332</v>
      </c>
    </row>
    <row r="13" spans="1:12" x14ac:dyDescent="0.3">
      <c r="A13" t="s">
        <v>43</v>
      </c>
      <c r="B13" t="s">
        <v>15</v>
      </c>
      <c r="C13">
        <v>101.6</v>
      </c>
      <c r="D13">
        <v>5.7</v>
      </c>
      <c r="E13">
        <v>13.5</v>
      </c>
      <c r="F13">
        <v>60</v>
      </c>
      <c r="G13">
        <f t="shared" si="0"/>
        <v>90.199999999999989</v>
      </c>
      <c r="H13">
        <f t="shared" si="1"/>
        <v>9.0199999999999989E-2</v>
      </c>
      <c r="I13">
        <v>4.6E-5</v>
      </c>
      <c r="J13" t="s">
        <v>57</v>
      </c>
    </row>
    <row r="14" spans="1:12" x14ac:dyDescent="0.3">
      <c r="A14" t="s">
        <v>44</v>
      </c>
      <c r="B14" t="s">
        <v>5</v>
      </c>
      <c r="C14">
        <v>114.3</v>
      </c>
      <c r="D14">
        <v>6</v>
      </c>
      <c r="E14">
        <v>16</v>
      </c>
      <c r="F14">
        <v>60</v>
      </c>
      <c r="G14">
        <f t="shared" si="0"/>
        <v>102.3</v>
      </c>
      <c r="H14">
        <f t="shared" si="1"/>
        <v>0.1023</v>
      </c>
      <c r="I14">
        <v>4.6E-5</v>
      </c>
      <c r="J14" t="s">
        <v>57</v>
      </c>
      <c r="K14">
        <v>189990</v>
      </c>
      <c r="L14">
        <f t="shared" ref="L14:L19" si="3">K14/6</f>
        <v>31665</v>
      </c>
    </row>
    <row r="15" spans="1:12" x14ac:dyDescent="0.3">
      <c r="A15" t="s">
        <v>45</v>
      </c>
      <c r="B15" t="s">
        <v>6</v>
      </c>
      <c r="C15">
        <v>139.80000000000001</v>
      </c>
      <c r="D15">
        <v>6.6</v>
      </c>
      <c r="E15">
        <v>21.7</v>
      </c>
      <c r="F15">
        <v>60</v>
      </c>
      <c r="G15">
        <f t="shared" si="0"/>
        <v>126.60000000000001</v>
      </c>
      <c r="H15">
        <f t="shared" si="1"/>
        <v>0.12660000000000002</v>
      </c>
      <c r="I15">
        <v>4.6E-5</v>
      </c>
      <c r="J15" t="s">
        <v>57</v>
      </c>
      <c r="K15">
        <v>279990</v>
      </c>
      <c r="L15">
        <f t="shared" si="3"/>
        <v>46665</v>
      </c>
    </row>
    <row r="16" spans="1:12" x14ac:dyDescent="0.3">
      <c r="A16" t="s">
        <v>46</v>
      </c>
      <c r="B16" t="s">
        <v>16</v>
      </c>
      <c r="C16">
        <v>165.2</v>
      </c>
      <c r="D16">
        <v>7.1</v>
      </c>
      <c r="E16">
        <v>27.7</v>
      </c>
      <c r="F16">
        <v>60</v>
      </c>
      <c r="G16">
        <f t="shared" si="0"/>
        <v>151</v>
      </c>
      <c r="H16">
        <f t="shared" si="1"/>
        <v>0.151</v>
      </c>
      <c r="I16">
        <v>4.6E-5</v>
      </c>
      <c r="J16" t="s">
        <v>57</v>
      </c>
      <c r="K16">
        <v>339990</v>
      </c>
      <c r="L16">
        <f t="shared" si="3"/>
        <v>56665</v>
      </c>
    </row>
    <row r="17" spans="1:12" x14ac:dyDescent="0.3">
      <c r="A17" t="s">
        <v>47</v>
      </c>
      <c r="B17" t="s">
        <v>17</v>
      </c>
      <c r="C17">
        <v>216.3</v>
      </c>
      <c r="D17">
        <v>8.1999999999999993</v>
      </c>
      <c r="E17">
        <v>42.1</v>
      </c>
      <c r="F17">
        <v>60</v>
      </c>
      <c r="G17">
        <f t="shared" si="0"/>
        <v>199.9</v>
      </c>
      <c r="H17">
        <f t="shared" si="1"/>
        <v>0.19989999999999999</v>
      </c>
      <c r="I17">
        <v>4.6E-5</v>
      </c>
      <c r="J17" t="s">
        <v>57</v>
      </c>
      <c r="K17">
        <v>499990</v>
      </c>
      <c r="L17">
        <f t="shared" si="3"/>
        <v>83331.666666666672</v>
      </c>
    </row>
    <row r="18" spans="1:12" x14ac:dyDescent="0.3">
      <c r="A18" t="s">
        <v>48</v>
      </c>
      <c r="B18" t="s">
        <v>18</v>
      </c>
      <c r="C18">
        <v>267.39999999999998</v>
      </c>
      <c r="D18">
        <v>9.3000000000000007</v>
      </c>
      <c r="E18">
        <v>59.2</v>
      </c>
      <c r="F18">
        <v>60</v>
      </c>
      <c r="G18">
        <f t="shared" si="0"/>
        <v>248.79999999999998</v>
      </c>
      <c r="H18">
        <f t="shared" si="1"/>
        <v>0.24879999999999999</v>
      </c>
      <c r="I18">
        <v>4.6E-5</v>
      </c>
      <c r="J18" t="s">
        <v>57</v>
      </c>
      <c r="K18">
        <v>669990</v>
      </c>
      <c r="L18">
        <f t="shared" si="3"/>
        <v>111665</v>
      </c>
    </row>
    <row r="19" spans="1:12" x14ac:dyDescent="0.3">
      <c r="A19" t="s">
        <v>49</v>
      </c>
      <c r="B19" t="s">
        <v>19</v>
      </c>
      <c r="C19">
        <v>318.5</v>
      </c>
      <c r="D19">
        <v>10.3</v>
      </c>
      <c r="E19">
        <v>78.3</v>
      </c>
      <c r="F19">
        <v>60</v>
      </c>
      <c r="G19">
        <f t="shared" si="0"/>
        <v>297.89999999999998</v>
      </c>
      <c r="H19">
        <f t="shared" si="1"/>
        <v>0.2979</v>
      </c>
      <c r="I19">
        <v>4.6E-5</v>
      </c>
      <c r="J19" t="s">
        <v>57</v>
      </c>
      <c r="K19">
        <v>879990</v>
      </c>
      <c r="L19">
        <f t="shared" si="3"/>
        <v>146665</v>
      </c>
    </row>
    <row r="20" spans="1:12" x14ac:dyDescent="0.3">
      <c r="A20" t="s">
        <v>50</v>
      </c>
      <c r="B20" t="s">
        <v>20</v>
      </c>
      <c r="C20">
        <v>355.6</v>
      </c>
      <c r="D20">
        <v>11.1</v>
      </c>
      <c r="E20">
        <v>94.3</v>
      </c>
      <c r="F20">
        <v>60</v>
      </c>
      <c r="G20">
        <f t="shared" si="0"/>
        <v>333.40000000000003</v>
      </c>
      <c r="H20">
        <f t="shared" si="1"/>
        <v>0.33340000000000003</v>
      </c>
      <c r="I20">
        <v>4.6E-5</v>
      </c>
      <c r="J20" t="s">
        <v>57</v>
      </c>
    </row>
    <row r="21" spans="1:12" x14ac:dyDescent="0.3">
      <c r="A21" t="s">
        <v>51</v>
      </c>
      <c r="B21" t="s">
        <v>21</v>
      </c>
      <c r="C21">
        <v>406.4</v>
      </c>
      <c r="D21">
        <v>12.7</v>
      </c>
      <c r="E21">
        <v>123</v>
      </c>
      <c r="F21">
        <v>60</v>
      </c>
      <c r="G21">
        <f t="shared" si="0"/>
        <v>381</v>
      </c>
      <c r="H21">
        <f t="shared" si="1"/>
        <v>0.38100000000000001</v>
      </c>
      <c r="I21">
        <v>4.6E-5</v>
      </c>
      <c r="J21" t="s">
        <v>57</v>
      </c>
    </row>
    <row r="22" spans="1:12" x14ac:dyDescent="0.3">
      <c r="A22" t="s">
        <v>52</v>
      </c>
      <c r="B22" t="s">
        <v>22</v>
      </c>
      <c r="C22">
        <v>457.2</v>
      </c>
      <c r="D22">
        <v>14.3</v>
      </c>
      <c r="E22">
        <v>156</v>
      </c>
      <c r="F22">
        <v>60</v>
      </c>
      <c r="G22">
        <f t="shared" si="0"/>
        <v>428.59999999999997</v>
      </c>
      <c r="H22">
        <f t="shared" si="1"/>
        <v>0.42859999999999998</v>
      </c>
      <c r="I22">
        <v>4.6E-5</v>
      </c>
      <c r="J22" t="s">
        <v>57</v>
      </c>
    </row>
    <row r="23" spans="1:12" x14ac:dyDescent="0.3">
      <c r="A23" t="s">
        <v>53</v>
      </c>
      <c r="B23" t="s">
        <v>23</v>
      </c>
      <c r="C23">
        <v>508</v>
      </c>
      <c r="D23">
        <v>15.1</v>
      </c>
      <c r="E23">
        <v>184</v>
      </c>
      <c r="F23">
        <v>60</v>
      </c>
      <c r="G23">
        <f t="shared" si="0"/>
        <v>477.8</v>
      </c>
      <c r="H23">
        <f t="shared" si="1"/>
        <v>0.4778</v>
      </c>
      <c r="I23">
        <v>4.6E-5</v>
      </c>
      <c r="J23" t="s">
        <v>57</v>
      </c>
    </row>
    <row r="24" spans="1:12" x14ac:dyDescent="0.3">
      <c r="A24" t="s">
        <v>54</v>
      </c>
      <c r="B24" t="s">
        <v>24</v>
      </c>
      <c r="C24">
        <v>558.79999999999995</v>
      </c>
      <c r="D24">
        <v>15.9</v>
      </c>
      <c r="E24">
        <v>213</v>
      </c>
      <c r="F24">
        <v>60</v>
      </c>
      <c r="G24">
        <f t="shared" si="0"/>
        <v>527</v>
      </c>
      <c r="H24">
        <f t="shared" si="1"/>
        <v>0.52700000000000002</v>
      </c>
      <c r="I24">
        <v>4.6E-5</v>
      </c>
      <c r="J24" t="s">
        <v>57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88130-2F1A-4B36-A95B-12081340FE7E}">
  <dimension ref="A1:F78"/>
  <sheetViews>
    <sheetView topLeftCell="A44" workbookViewId="0">
      <selection activeCell="H58" sqref="H58"/>
    </sheetView>
  </sheetViews>
  <sheetFormatPr defaultRowHeight="16.5" x14ac:dyDescent="0.3"/>
  <cols>
    <col min="1" max="1" width="17.75" customWidth="1"/>
    <col min="2" max="2" width="32.375" customWidth="1"/>
    <col min="5" max="5" width="10.875" customWidth="1"/>
    <col min="6" max="6" width="33.75" customWidth="1"/>
  </cols>
  <sheetData>
    <row r="1" spans="1:6" x14ac:dyDescent="0.3">
      <c r="A1" t="s">
        <v>63</v>
      </c>
      <c r="B1" t="s">
        <v>1</v>
      </c>
      <c r="C1" t="s">
        <v>7</v>
      </c>
      <c r="D1" t="s">
        <v>61</v>
      </c>
      <c r="E1" t="s">
        <v>0</v>
      </c>
      <c r="F1" t="s">
        <v>56</v>
      </c>
    </row>
    <row r="2" spans="1:6" x14ac:dyDescent="0.3">
      <c r="A2" t="s">
        <v>148</v>
      </c>
      <c r="B2" t="s">
        <v>60</v>
      </c>
      <c r="C2" t="s">
        <v>10</v>
      </c>
      <c r="D2">
        <v>21.7</v>
      </c>
      <c r="E2">
        <v>1690</v>
      </c>
      <c r="F2" s="1" t="s">
        <v>91</v>
      </c>
    </row>
    <row r="3" spans="1:6" x14ac:dyDescent="0.3">
      <c r="A3" t="s">
        <v>148</v>
      </c>
      <c r="B3" t="s">
        <v>64</v>
      </c>
      <c r="C3" t="s">
        <v>11</v>
      </c>
      <c r="D3">
        <v>27.2</v>
      </c>
      <c r="E3">
        <v>1690</v>
      </c>
      <c r="F3" t="s">
        <v>62</v>
      </c>
    </row>
    <row r="4" spans="1:6" x14ac:dyDescent="0.3">
      <c r="A4" t="s">
        <v>148</v>
      </c>
      <c r="B4" t="s">
        <v>65</v>
      </c>
      <c r="C4" t="s">
        <v>12</v>
      </c>
      <c r="D4">
        <v>34</v>
      </c>
      <c r="E4">
        <v>1890</v>
      </c>
      <c r="F4" t="s">
        <v>62</v>
      </c>
    </row>
    <row r="5" spans="1:6" x14ac:dyDescent="0.3">
      <c r="A5" t="s">
        <v>148</v>
      </c>
      <c r="B5" t="s">
        <v>66</v>
      </c>
      <c r="C5" t="s">
        <v>13</v>
      </c>
      <c r="D5">
        <v>42.7</v>
      </c>
      <c r="E5">
        <v>2590</v>
      </c>
      <c r="F5" t="s">
        <v>62</v>
      </c>
    </row>
    <row r="6" spans="1:6" x14ac:dyDescent="0.3">
      <c r="A6" t="s">
        <v>148</v>
      </c>
      <c r="B6" t="s">
        <v>67</v>
      </c>
      <c r="C6" t="s">
        <v>14</v>
      </c>
      <c r="D6">
        <v>48.6</v>
      </c>
      <c r="E6">
        <v>2990</v>
      </c>
      <c r="F6" t="s">
        <v>62</v>
      </c>
    </row>
    <row r="7" spans="1:6" x14ac:dyDescent="0.3">
      <c r="A7" t="s">
        <v>148</v>
      </c>
      <c r="B7" t="s">
        <v>68</v>
      </c>
      <c r="C7" t="s">
        <v>2</v>
      </c>
      <c r="D7">
        <v>60.5</v>
      </c>
      <c r="E7">
        <v>4990</v>
      </c>
      <c r="F7" s="1" t="s">
        <v>91</v>
      </c>
    </row>
    <row r="8" spans="1:6" x14ac:dyDescent="0.3">
      <c r="A8" t="s">
        <v>148</v>
      </c>
      <c r="B8" t="s">
        <v>69</v>
      </c>
      <c r="C8" t="s">
        <v>3</v>
      </c>
      <c r="D8">
        <v>76.3</v>
      </c>
      <c r="E8">
        <v>8890</v>
      </c>
      <c r="F8" t="s">
        <v>62</v>
      </c>
    </row>
    <row r="9" spans="1:6" x14ac:dyDescent="0.3">
      <c r="A9" t="s">
        <v>148</v>
      </c>
      <c r="B9" t="s">
        <v>70</v>
      </c>
      <c r="C9" t="s">
        <v>4</v>
      </c>
      <c r="D9">
        <v>89.1</v>
      </c>
      <c r="E9">
        <v>13490</v>
      </c>
      <c r="F9" t="s">
        <v>62</v>
      </c>
    </row>
    <row r="10" spans="1:6" x14ac:dyDescent="0.3">
      <c r="A10" t="s">
        <v>148</v>
      </c>
      <c r="B10" t="s">
        <v>71</v>
      </c>
      <c r="C10" t="s">
        <v>5</v>
      </c>
      <c r="D10">
        <v>114.3</v>
      </c>
      <c r="E10">
        <v>25990</v>
      </c>
      <c r="F10" t="s">
        <v>62</v>
      </c>
    </row>
    <row r="11" spans="1:6" x14ac:dyDescent="0.3">
      <c r="A11" t="s">
        <v>148</v>
      </c>
      <c r="B11" t="s">
        <v>72</v>
      </c>
      <c r="C11" t="s">
        <v>6</v>
      </c>
      <c r="D11">
        <v>139.80000000000001</v>
      </c>
      <c r="E11">
        <v>39990</v>
      </c>
      <c r="F11" t="s">
        <v>62</v>
      </c>
    </row>
    <row r="12" spans="1:6" x14ac:dyDescent="0.3">
      <c r="A12" t="s">
        <v>148</v>
      </c>
      <c r="B12" t="s">
        <v>73</v>
      </c>
      <c r="C12" t="s">
        <v>16</v>
      </c>
      <c r="D12">
        <v>165.2</v>
      </c>
      <c r="E12">
        <v>59990</v>
      </c>
      <c r="F12" t="s">
        <v>62</v>
      </c>
    </row>
    <row r="13" spans="1:6" x14ac:dyDescent="0.3">
      <c r="A13" t="s">
        <v>148</v>
      </c>
      <c r="B13" t="s">
        <v>74</v>
      </c>
      <c r="C13" t="s">
        <v>17</v>
      </c>
      <c r="D13">
        <v>216.3</v>
      </c>
      <c r="E13">
        <v>124990</v>
      </c>
      <c r="F13" t="s">
        <v>62</v>
      </c>
    </row>
    <row r="14" spans="1:6" x14ac:dyDescent="0.3">
      <c r="A14" t="s">
        <v>148</v>
      </c>
      <c r="B14" t="s">
        <v>75</v>
      </c>
      <c r="C14" t="s">
        <v>18</v>
      </c>
      <c r="D14">
        <v>267.39999999999998</v>
      </c>
      <c r="E14">
        <v>219990</v>
      </c>
      <c r="F14" t="s">
        <v>62</v>
      </c>
    </row>
    <row r="15" spans="1:6" x14ac:dyDescent="0.3">
      <c r="A15" t="s">
        <v>148</v>
      </c>
      <c r="B15" t="s">
        <v>76</v>
      </c>
      <c r="C15" t="s">
        <v>19</v>
      </c>
      <c r="D15">
        <v>318.5</v>
      </c>
      <c r="E15">
        <v>359990</v>
      </c>
      <c r="F15" t="s">
        <v>62</v>
      </c>
    </row>
    <row r="16" spans="1:6" x14ac:dyDescent="0.3">
      <c r="A16" t="s">
        <v>148</v>
      </c>
      <c r="B16" t="s">
        <v>77</v>
      </c>
      <c r="C16" t="s">
        <v>20</v>
      </c>
      <c r="D16">
        <v>355.6</v>
      </c>
      <c r="E16">
        <v>559990</v>
      </c>
      <c r="F16" t="s">
        <v>62</v>
      </c>
    </row>
    <row r="17" spans="1:6" x14ac:dyDescent="0.3">
      <c r="A17" t="s">
        <v>148</v>
      </c>
      <c r="B17" t="s">
        <v>78</v>
      </c>
      <c r="C17" t="s">
        <v>21</v>
      </c>
      <c r="D17">
        <v>406.4</v>
      </c>
      <c r="E17">
        <v>799990</v>
      </c>
      <c r="F17" t="s">
        <v>62</v>
      </c>
    </row>
    <row r="18" spans="1:6" x14ac:dyDescent="0.3">
      <c r="A18" t="s">
        <v>79</v>
      </c>
      <c r="B18" t="s">
        <v>80</v>
      </c>
      <c r="C18" t="s">
        <v>14</v>
      </c>
      <c r="E18">
        <v>88990</v>
      </c>
      <c r="F18" s="1" t="s">
        <v>93</v>
      </c>
    </row>
    <row r="19" spans="1:6" x14ac:dyDescent="0.3">
      <c r="A19" t="s">
        <v>79</v>
      </c>
      <c r="B19" t="s">
        <v>81</v>
      </c>
      <c r="C19" t="s">
        <v>2</v>
      </c>
      <c r="E19">
        <v>88990</v>
      </c>
      <c r="F19" s="1" t="s">
        <v>93</v>
      </c>
    </row>
    <row r="20" spans="1:6" x14ac:dyDescent="0.3">
      <c r="A20" t="s">
        <v>79</v>
      </c>
      <c r="B20" t="s">
        <v>82</v>
      </c>
      <c r="C20" t="s">
        <v>3</v>
      </c>
      <c r="E20">
        <v>109990</v>
      </c>
      <c r="F20" t="s">
        <v>90</v>
      </c>
    </row>
    <row r="21" spans="1:6" x14ac:dyDescent="0.3">
      <c r="A21" t="s">
        <v>79</v>
      </c>
      <c r="B21" t="s">
        <v>83</v>
      </c>
      <c r="C21" t="s">
        <v>4</v>
      </c>
      <c r="E21">
        <v>139990</v>
      </c>
      <c r="F21" t="s">
        <v>90</v>
      </c>
    </row>
    <row r="22" spans="1:6" x14ac:dyDescent="0.3">
      <c r="A22" t="s">
        <v>79</v>
      </c>
      <c r="B22" t="s">
        <v>84</v>
      </c>
      <c r="C22" t="s">
        <v>5</v>
      </c>
      <c r="E22">
        <v>189990</v>
      </c>
      <c r="F22" t="s">
        <v>90</v>
      </c>
    </row>
    <row r="23" spans="1:6" x14ac:dyDescent="0.3">
      <c r="A23" t="s">
        <v>79</v>
      </c>
      <c r="B23" t="s">
        <v>85</v>
      </c>
      <c r="C23" t="s">
        <v>6</v>
      </c>
      <c r="E23">
        <v>249990</v>
      </c>
      <c r="F23" t="s">
        <v>90</v>
      </c>
    </row>
    <row r="24" spans="1:6" x14ac:dyDescent="0.3">
      <c r="A24" t="s">
        <v>79</v>
      </c>
      <c r="B24" t="s">
        <v>86</v>
      </c>
      <c r="C24" t="s">
        <v>16</v>
      </c>
      <c r="E24">
        <v>359990</v>
      </c>
      <c r="F24" t="s">
        <v>90</v>
      </c>
    </row>
    <row r="25" spans="1:6" x14ac:dyDescent="0.3">
      <c r="A25" t="s">
        <v>79</v>
      </c>
      <c r="B25" t="s">
        <v>87</v>
      </c>
      <c r="C25" t="s">
        <v>17</v>
      </c>
      <c r="E25">
        <v>479990</v>
      </c>
      <c r="F25" t="s">
        <v>90</v>
      </c>
    </row>
    <row r="26" spans="1:6" x14ac:dyDescent="0.3">
      <c r="A26" t="s">
        <v>79</v>
      </c>
      <c r="B26" t="s">
        <v>88</v>
      </c>
      <c r="C26" t="s">
        <v>18</v>
      </c>
      <c r="E26">
        <v>889990</v>
      </c>
      <c r="F26" t="s">
        <v>90</v>
      </c>
    </row>
    <row r="27" spans="1:6" x14ac:dyDescent="0.3">
      <c r="A27" t="s">
        <v>79</v>
      </c>
      <c r="B27" t="s">
        <v>89</v>
      </c>
      <c r="C27" t="s">
        <v>19</v>
      </c>
      <c r="E27">
        <v>1050000</v>
      </c>
      <c r="F27" t="s">
        <v>90</v>
      </c>
    </row>
    <row r="28" spans="1:6" x14ac:dyDescent="0.3">
      <c r="A28" t="s">
        <v>94</v>
      </c>
      <c r="B28" t="s">
        <v>92</v>
      </c>
      <c r="C28" t="s">
        <v>12</v>
      </c>
      <c r="E28">
        <v>626989</v>
      </c>
      <c r="F28" s="1" t="s">
        <v>143</v>
      </c>
    </row>
    <row r="29" spans="1:6" x14ac:dyDescent="0.3">
      <c r="A29" t="s">
        <v>94</v>
      </c>
      <c r="B29" t="s">
        <v>95</v>
      </c>
      <c r="C29" t="s">
        <v>14</v>
      </c>
      <c r="E29">
        <v>879989</v>
      </c>
      <c r="F29" t="s">
        <v>103</v>
      </c>
    </row>
    <row r="30" spans="1:6" x14ac:dyDescent="0.3">
      <c r="A30" t="s">
        <v>94</v>
      </c>
      <c r="B30" t="s">
        <v>96</v>
      </c>
      <c r="C30" t="s">
        <v>2</v>
      </c>
      <c r="E30">
        <v>1122000</v>
      </c>
      <c r="F30" t="s">
        <v>103</v>
      </c>
    </row>
    <row r="31" spans="1:6" x14ac:dyDescent="0.3">
      <c r="A31" t="s">
        <v>94</v>
      </c>
      <c r="B31" t="s">
        <v>97</v>
      </c>
      <c r="C31" t="s">
        <v>3</v>
      </c>
      <c r="E31">
        <v>1430000</v>
      </c>
      <c r="F31" t="s">
        <v>103</v>
      </c>
    </row>
    <row r="32" spans="1:6" x14ac:dyDescent="0.3">
      <c r="A32" t="s">
        <v>94</v>
      </c>
      <c r="B32" t="s">
        <v>98</v>
      </c>
      <c r="C32" t="s">
        <v>4</v>
      </c>
      <c r="E32">
        <v>1738000</v>
      </c>
      <c r="F32" t="s">
        <v>103</v>
      </c>
    </row>
    <row r="33" spans="1:6" x14ac:dyDescent="0.3">
      <c r="A33" t="s">
        <v>94</v>
      </c>
      <c r="B33" t="s">
        <v>99</v>
      </c>
      <c r="C33" t="s">
        <v>5</v>
      </c>
      <c r="E33">
        <v>2145000</v>
      </c>
      <c r="F33" t="s">
        <v>103</v>
      </c>
    </row>
    <row r="34" spans="1:6" x14ac:dyDescent="0.3">
      <c r="A34" t="s">
        <v>94</v>
      </c>
      <c r="B34" t="s">
        <v>100</v>
      </c>
      <c r="C34" t="s">
        <v>6</v>
      </c>
      <c r="E34">
        <v>2618000</v>
      </c>
      <c r="F34" t="s">
        <v>103</v>
      </c>
    </row>
    <row r="35" spans="1:6" x14ac:dyDescent="0.3">
      <c r="A35" t="s">
        <v>94</v>
      </c>
      <c r="B35" t="s">
        <v>101</v>
      </c>
      <c r="C35" t="s">
        <v>16</v>
      </c>
      <c r="E35">
        <v>3542000</v>
      </c>
      <c r="F35" t="s">
        <v>103</v>
      </c>
    </row>
    <row r="36" spans="1:6" x14ac:dyDescent="0.3">
      <c r="A36" t="s">
        <v>94</v>
      </c>
      <c r="B36" t="s">
        <v>102</v>
      </c>
      <c r="C36" t="s">
        <v>17</v>
      </c>
      <c r="E36">
        <v>5445000</v>
      </c>
      <c r="F36" t="s">
        <v>103</v>
      </c>
    </row>
    <row r="37" spans="1:6" x14ac:dyDescent="0.3">
      <c r="A37" t="s">
        <v>150</v>
      </c>
      <c r="B37" t="s">
        <v>151</v>
      </c>
      <c r="C37" t="s">
        <v>14</v>
      </c>
      <c r="E37">
        <v>6790</v>
      </c>
      <c r="F37" t="s">
        <v>149</v>
      </c>
    </row>
    <row r="38" spans="1:6" x14ac:dyDescent="0.3">
      <c r="A38" t="s">
        <v>150</v>
      </c>
      <c r="B38" t="s">
        <v>152</v>
      </c>
      <c r="C38" t="s">
        <v>2</v>
      </c>
      <c r="E38">
        <v>8890</v>
      </c>
      <c r="F38" t="s">
        <v>149</v>
      </c>
    </row>
    <row r="39" spans="1:6" x14ac:dyDescent="0.3">
      <c r="A39" t="s">
        <v>150</v>
      </c>
      <c r="B39" t="s">
        <v>153</v>
      </c>
      <c r="C39" t="s">
        <v>3</v>
      </c>
      <c r="E39">
        <v>17490</v>
      </c>
      <c r="F39" t="s">
        <v>149</v>
      </c>
    </row>
    <row r="40" spans="1:6" x14ac:dyDescent="0.3">
      <c r="A40" t="s">
        <v>150</v>
      </c>
      <c r="B40" t="s">
        <v>154</v>
      </c>
      <c r="C40" t="s">
        <v>4</v>
      </c>
      <c r="E40">
        <v>23990</v>
      </c>
      <c r="F40" t="s">
        <v>149</v>
      </c>
    </row>
    <row r="41" spans="1:6" x14ac:dyDescent="0.3">
      <c r="A41" t="s">
        <v>150</v>
      </c>
      <c r="B41" t="s">
        <v>155</v>
      </c>
      <c r="C41" t="s">
        <v>5</v>
      </c>
      <c r="E41">
        <v>36990</v>
      </c>
      <c r="F41" t="s">
        <v>149</v>
      </c>
    </row>
    <row r="42" spans="1:6" x14ac:dyDescent="0.3">
      <c r="A42" t="s">
        <v>150</v>
      </c>
      <c r="B42" t="s">
        <v>156</v>
      </c>
      <c r="C42" t="s">
        <v>6</v>
      </c>
      <c r="E42">
        <v>55990</v>
      </c>
      <c r="F42" t="s">
        <v>149</v>
      </c>
    </row>
    <row r="43" spans="1:6" x14ac:dyDescent="0.3">
      <c r="A43" t="s">
        <v>150</v>
      </c>
      <c r="B43" t="s">
        <v>157</v>
      </c>
      <c r="C43" t="s">
        <v>16</v>
      </c>
      <c r="E43">
        <v>93990</v>
      </c>
      <c r="F43" t="s">
        <v>149</v>
      </c>
    </row>
    <row r="44" spans="1:6" x14ac:dyDescent="0.3">
      <c r="A44" t="s">
        <v>150</v>
      </c>
      <c r="B44" t="s">
        <v>158</v>
      </c>
      <c r="C44" t="s">
        <v>17</v>
      </c>
      <c r="E44">
        <v>149990</v>
      </c>
      <c r="F44" t="s">
        <v>149</v>
      </c>
    </row>
    <row r="45" spans="1:6" x14ac:dyDescent="0.3">
      <c r="A45" t="s">
        <v>150</v>
      </c>
      <c r="B45" t="s">
        <v>159</v>
      </c>
      <c r="C45" t="s">
        <v>18</v>
      </c>
      <c r="E45">
        <v>279990</v>
      </c>
      <c r="F45" t="s">
        <v>149</v>
      </c>
    </row>
    <row r="46" spans="1:6" x14ac:dyDescent="0.3">
      <c r="A46" t="s">
        <v>150</v>
      </c>
      <c r="B46" t="s">
        <v>160</v>
      </c>
      <c r="C46" t="s">
        <v>19</v>
      </c>
      <c r="E46">
        <v>449990</v>
      </c>
      <c r="F46" t="s">
        <v>149</v>
      </c>
    </row>
    <row r="47" spans="1:6" x14ac:dyDescent="0.3">
      <c r="A47" t="s">
        <v>150</v>
      </c>
      <c r="B47" t="s">
        <v>161</v>
      </c>
      <c r="C47" t="s">
        <v>20</v>
      </c>
      <c r="E47">
        <v>629990</v>
      </c>
      <c r="F47" t="s">
        <v>149</v>
      </c>
    </row>
    <row r="48" spans="1:6" x14ac:dyDescent="0.3">
      <c r="A48" t="s">
        <v>150</v>
      </c>
      <c r="B48" t="s">
        <v>162</v>
      </c>
      <c r="C48" t="s">
        <v>21</v>
      </c>
      <c r="E48">
        <v>899990</v>
      </c>
      <c r="F48" t="s">
        <v>149</v>
      </c>
    </row>
    <row r="49" spans="1:6" x14ac:dyDescent="0.3">
      <c r="A49" t="s">
        <v>163</v>
      </c>
      <c r="B49" t="s">
        <v>164</v>
      </c>
      <c r="C49" t="s">
        <v>14</v>
      </c>
      <c r="E49">
        <v>58990</v>
      </c>
      <c r="F49" t="s">
        <v>174</v>
      </c>
    </row>
    <row r="50" spans="1:6" x14ac:dyDescent="0.3">
      <c r="A50" t="s">
        <v>163</v>
      </c>
      <c r="B50" t="s">
        <v>165</v>
      </c>
      <c r="C50" t="s">
        <v>2</v>
      </c>
      <c r="E50">
        <v>64990</v>
      </c>
      <c r="F50" t="s">
        <v>174</v>
      </c>
    </row>
    <row r="51" spans="1:6" x14ac:dyDescent="0.3">
      <c r="A51" t="s">
        <v>163</v>
      </c>
      <c r="B51" t="s">
        <v>166</v>
      </c>
      <c r="C51" t="s">
        <v>3</v>
      </c>
      <c r="E51">
        <v>72990</v>
      </c>
      <c r="F51" t="s">
        <v>174</v>
      </c>
    </row>
    <row r="52" spans="1:6" x14ac:dyDescent="0.3">
      <c r="A52" t="s">
        <v>163</v>
      </c>
      <c r="B52" t="s">
        <v>167</v>
      </c>
      <c r="C52" t="s">
        <v>4</v>
      </c>
      <c r="E52">
        <v>89990</v>
      </c>
      <c r="F52" t="s">
        <v>174</v>
      </c>
    </row>
    <row r="53" spans="1:6" x14ac:dyDescent="0.3">
      <c r="A53" t="s">
        <v>163</v>
      </c>
      <c r="B53" t="s">
        <v>168</v>
      </c>
      <c r="C53" t="s">
        <v>5</v>
      </c>
      <c r="E53">
        <v>129990</v>
      </c>
      <c r="F53" t="s">
        <v>174</v>
      </c>
    </row>
    <row r="54" spans="1:6" x14ac:dyDescent="0.3">
      <c r="A54" t="s">
        <v>163</v>
      </c>
      <c r="B54" t="s">
        <v>169</v>
      </c>
      <c r="C54" t="s">
        <v>6</v>
      </c>
      <c r="E54">
        <v>194990</v>
      </c>
      <c r="F54" t="s">
        <v>174</v>
      </c>
    </row>
    <row r="55" spans="1:6" x14ac:dyDescent="0.3">
      <c r="A55" t="s">
        <v>163</v>
      </c>
      <c r="B55" t="s">
        <v>170</v>
      </c>
      <c r="C55" t="s">
        <v>16</v>
      </c>
      <c r="E55">
        <v>239990</v>
      </c>
      <c r="F55" t="s">
        <v>174</v>
      </c>
    </row>
    <row r="56" spans="1:6" x14ac:dyDescent="0.3">
      <c r="A56" t="s">
        <v>163</v>
      </c>
      <c r="B56" t="s">
        <v>171</v>
      </c>
      <c r="C56" t="s">
        <v>17</v>
      </c>
      <c r="E56">
        <v>379990</v>
      </c>
      <c r="F56" t="s">
        <v>174</v>
      </c>
    </row>
    <row r="57" spans="1:6" x14ac:dyDescent="0.3">
      <c r="A57" t="s">
        <v>163</v>
      </c>
      <c r="B57" t="s">
        <v>172</v>
      </c>
      <c r="C57" t="s">
        <v>18</v>
      </c>
      <c r="E57">
        <v>859990</v>
      </c>
      <c r="F57" t="s">
        <v>174</v>
      </c>
    </row>
    <row r="58" spans="1:6" x14ac:dyDescent="0.3">
      <c r="A58" t="s">
        <v>163</v>
      </c>
      <c r="B58" t="s">
        <v>173</v>
      </c>
      <c r="C58" t="s">
        <v>19</v>
      </c>
      <c r="E58">
        <v>939990</v>
      </c>
      <c r="F58" t="s">
        <v>174</v>
      </c>
    </row>
    <row r="59" spans="1:6" x14ac:dyDescent="0.3">
      <c r="A59" t="s">
        <v>176</v>
      </c>
      <c r="B59" t="s">
        <v>177</v>
      </c>
      <c r="C59" t="s">
        <v>14</v>
      </c>
      <c r="E59">
        <v>2790</v>
      </c>
      <c r="F59" t="s">
        <v>175</v>
      </c>
    </row>
    <row r="60" spans="1:6" x14ac:dyDescent="0.3">
      <c r="A60" t="s">
        <v>176</v>
      </c>
      <c r="B60" t="s">
        <v>177</v>
      </c>
      <c r="C60" t="s">
        <v>2</v>
      </c>
      <c r="E60">
        <v>2790</v>
      </c>
      <c r="F60" t="s">
        <v>175</v>
      </c>
    </row>
    <row r="61" spans="1:6" x14ac:dyDescent="0.3">
      <c r="A61" t="s">
        <v>176</v>
      </c>
      <c r="B61" t="s">
        <v>177</v>
      </c>
      <c r="C61" t="s">
        <v>3</v>
      </c>
      <c r="E61">
        <v>2790</v>
      </c>
      <c r="F61" t="s">
        <v>175</v>
      </c>
    </row>
    <row r="62" spans="1:6" x14ac:dyDescent="0.3">
      <c r="A62" t="s">
        <v>176</v>
      </c>
      <c r="B62" t="s">
        <v>177</v>
      </c>
      <c r="C62" t="s">
        <v>4</v>
      </c>
      <c r="E62">
        <v>2790</v>
      </c>
      <c r="F62" t="s">
        <v>175</v>
      </c>
    </row>
    <row r="63" spans="1:6" x14ac:dyDescent="0.3">
      <c r="A63" t="s">
        <v>176</v>
      </c>
      <c r="B63" t="s">
        <v>177</v>
      </c>
      <c r="C63" t="s">
        <v>5</v>
      </c>
      <c r="E63">
        <v>2790</v>
      </c>
      <c r="F63" t="s">
        <v>175</v>
      </c>
    </row>
    <row r="64" spans="1:6" x14ac:dyDescent="0.3">
      <c r="A64" t="s">
        <v>176</v>
      </c>
      <c r="B64" t="s">
        <v>177</v>
      </c>
      <c r="C64" t="s">
        <v>6</v>
      </c>
      <c r="E64">
        <v>2790</v>
      </c>
      <c r="F64" t="s">
        <v>175</v>
      </c>
    </row>
    <row r="65" spans="1:6" x14ac:dyDescent="0.3">
      <c r="A65" t="s">
        <v>176</v>
      </c>
      <c r="B65" t="s">
        <v>177</v>
      </c>
      <c r="C65" t="s">
        <v>16</v>
      </c>
      <c r="E65">
        <v>2790</v>
      </c>
      <c r="F65" t="s">
        <v>175</v>
      </c>
    </row>
    <row r="66" spans="1:6" x14ac:dyDescent="0.3">
      <c r="A66" t="s">
        <v>176</v>
      </c>
      <c r="B66" t="s">
        <v>177</v>
      </c>
      <c r="C66" t="s">
        <v>17</v>
      </c>
      <c r="E66">
        <v>2790</v>
      </c>
      <c r="F66" t="s">
        <v>175</v>
      </c>
    </row>
    <row r="67" spans="1:6" x14ac:dyDescent="0.3">
      <c r="A67" t="s">
        <v>176</v>
      </c>
      <c r="B67" t="s">
        <v>177</v>
      </c>
      <c r="C67" t="s">
        <v>18</v>
      </c>
      <c r="E67">
        <v>2790</v>
      </c>
      <c r="F67" t="s">
        <v>175</v>
      </c>
    </row>
    <row r="68" spans="1:6" x14ac:dyDescent="0.3">
      <c r="A68" t="s">
        <v>176</v>
      </c>
      <c r="B68" t="s">
        <v>177</v>
      </c>
      <c r="C68" t="s">
        <v>19</v>
      </c>
      <c r="E68">
        <v>2790</v>
      </c>
      <c r="F68" t="s">
        <v>175</v>
      </c>
    </row>
    <row r="69" spans="1:6" x14ac:dyDescent="0.3">
      <c r="A69" t="s">
        <v>179</v>
      </c>
      <c r="B69" t="s">
        <v>180</v>
      </c>
      <c r="C69" t="s">
        <v>14</v>
      </c>
      <c r="E69">
        <v>9990</v>
      </c>
      <c r="F69" t="s">
        <v>178</v>
      </c>
    </row>
    <row r="70" spans="1:6" x14ac:dyDescent="0.3">
      <c r="A70" t="s">
        <v>179</v>
      </c>
      <c r="B70" t="s">
        <v>181</v>
      </c>
      <c r="C70" t="s">
        <v>2</v>
      </c>
      <c r="E70">
        <v>14490</v>
      </c>
      <c r="F70" t="s">
        <v>178</v>
      </c>
    </row>
    <row r="71" spans="1:6" x14ac:dyDescent="0.3">
      <c r="A71" t="s">
        <v>179</v>
      </c>
      <c r="B71" t="s">
        <v>182</v>
      </c>
      <c r="C71" t="s">
        <v>3</v>
      </c>
      <c r="E71">
        <v>15990</v>
      </c>
      <c r="F71" t="s">
        <v>178</v>
      </c>
    </row>
    <row r="72" spans="1:6" x14ac:dyDescent="0.3">
      <c r="A72" t="s">
        <v>179</v>
      </c>
      <c r="B72" t="s">
        <v>183</v>
      </c>
      <c r="C72" t="s">
        <v>4</v>
      </c>
      <c r="E72">
        <v>18490</v>
      </c>
      <c r="F72" t="s">
        <v>178</v>
      </c>
    </row>
    <row r="73" spans="1:6" x14ac:dyDescent="0.3">
      <c r="A73" t="s">
        <v>179</v>
      </c>
      <c r="B73" t="s">
        <v>184</v>
      </c>
      <c r="C73" t="s">
        <v>5</v>
      </c>
      <c r="E73">
        <v>20990</v>
      </c>
      <c r="F73" t="s">
        <v>178</v>
      </c>
    </row>
    <row r="74" spans="1:6" x14ac:dyDescent="0.3">
      <c r="A74" t="s">
        <v>179</v>
      </c>
      <c r="B74" t="s">
        <v>185</v>
      </c>
      <c r="C74" t="s">
        <v>6</v>
      </c>
      <c r="E74">
        <v>26990</v>
      </c>
      <c r="F74" t="s">
        <v>178</v>
      </c>
    </row>
    <row r="75" spans="1:6" x14ac:dyDescent="0.3">
      <c r="A75" t="s">
        <v>179</v>
      </c>
      <c r="B75" t="s">
        <v>186</v>
      </c>
      <c r="C75" t="s">
        <v>16</v>
      </c>
      <c r="E75">
        <v>28990</v>
      </c>
      <c r="F75" t="s">
        <v>178</v>
      </c>
    </row>
    <row r="76" spans="1:6" x14ac:dyDescent="0.3">
      <c r="A76" t="s">
        <v>179</v>
      </c>
      <c r="B76" t="s">
        <v>187</v>
      </c>
      <c r="C76" t="s">
        <v>17</v>
      </c>
      <c r="E76">
        <v>34990</v>
      </c>
      <c r="F76" t="s">
        <v>178</v>
      </c>
    </row>
    <row r="77" spans="1:6" x14ac:dyDescent="0.3">
      <c r="A77" t="s">
        <v>179</v>
      </c>
      <c r="B77" t="s">
        <v>188</v>
      </c>
      <c r="C77" t="s">
        <v>18</v>
      </c>
      <c r="E77">
        <v>39990</v>
      </c>
      <c r="F77" t="s">
        <v>178</v>
      </c>
    </row>
    <row r="78" spans="1:6" x14ac:dyDescent="0.3">
      <c r="A78" t="s">
        <v>179</v>
      </c>
      <c r="B78" t="s">
        <v>189</v>
      </c>
      <c r="C78" t="s">
        <v>19</v>
      </c>
      <c r="E78">
        <v>46990</v>
      </c>
      <c r="F78" t="s">
        <v>178</v>
      </c>
    </row>
  </sheetData>
  <phoneticPr fontId="1" type="noConversion"/>
  <hyperlinks>
    <hyperlink ref="F7" r:id="rId1" xr:uid="{A72C1FF6-EF80-4377-ADF4-4C2756F145AE}"/>
    <hyperlink ref="F18" r:id="rId2" xr:uid="{3BB7147C-927E-4934-8929-5069E5E61873}"/>
    <hyperlink ref="F2" r:id="rId3" xr:uid="{85CDA142-05CC-42BB-8FEA-160352A8AA4F}"/>
    <hyperlink ref="F19" r:id="rId4" xr:uid="{AA22492E-5D82-433B-972D-DC8B607CC64F}"/>
    <hyperlink ref="F28" r:id="rId5" xr:uid="{4342991E-E07A-4377-A330-A85F7EB1E82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8F7CB-0D2F-4C3D-80D3-B63D698E0E95}">
  <dimension ref="A1:H37"/>
  <sheetViews>
    <sheetView tabSelected="1" workbookViewId="0">
      <selection activeCell="K18" sqref="K18"/>
    </sheetView>
  </sheetViews>
  <sheetFormatPr defaultRowHeight="16.5" x14ac:dyDescent="0.3"/>
  <cols>
    <col min="1" max="1" width="13.625" customWidth="1"/>
    <col min="2" max="2" width="18.375" customWidth="1"/>
    <col min="3" max="3" width="20.875" customWidth="1"/>
    <col min="4" max="4" width="24" customWidth="1"/>
    <col min="5" max="5" width="14.5" customWidth="1"/>
    <col min="6" max="6" width="15.5" customWidth="1"/>
    <col min="7" max="7" width="13.25" customWidth="1"/>
    <col min="8" max="8" width="10.5" customWidth="1"/>
  </cols>
  <sheetData>
    <row r="1" spans="1:8" x14ac:dyDescent="0.3">
      <c r="A1" t="s">
        <v>1</v>
      </c>
      <c r="B1" t="s">
        <v>104</v>
      </c>
      <c r="C1" t="s">
        <v>146</v>
      </c>
      <c r="D1" t="s">
        <v>147</v>
      </c>
      <c r="E1" t="s">
        <v>109</v>
      </c>
      <c r="F1" t="s">
        <v>114</v>
      </c>
      <c r="G1" t="s">
        <v>0</v>
      </c>
      <c r="H1" t="s">
        <v>144</v>
      </c>
    </row>
    <row r="2" spans="1:8" x14ac:dyDescent="0.3">
      <c r="A2" t="s">
        <v>105</v>
      </c>
      <c r="B2">
        <v>4</v>
      </c>
      <c r="C2">
        <v>24.8</v>
      </c>
      <c r="D2">
        <v>68.8</v>
      </c>
      <c r="E2">
        <v>5.5</v>
      </c>
      <c r="F2">
        <v>62</v>
      </c>
      <c r="G2">
        <v>11000000</v>
      </c>
      <c r="H2" t="s">
        <v>145</v>
      </c>
    </row>
    <row r="3" spans="1:8" x14ac:dyDescent="0.3">
      <c r="A3" t="s">
        <v>106</v>
      </c>
      <c r="B3">
        <v>7</v>
      </c>
      <c r="C3">
        <v>23.8</v>
      </c>
      <c r="D3">
        <v>68.8</v>
      </c>
      <c r="E3">
        <v>5.5</v>
      </c>
      <c r="F3">
        <v>62</v>
      </c>
      <c r="G3">
        <v>11000000</v>
      </c>
      <c r="H3" t="s">
        <v>145</v>
      </c>
    </row>
    <row r="4" spans="1:8" x14ac:dyDescent="0.3">
      <c r="A4" t="s">
        <v>107</v>
      </c>
      <c r="B4">
        <v>10</v>
      </c>
      <c r="C4">
        <v>22</v>
      </c>
      <c r="D4">
        <v>55.1</v>
      </c>
      <c r="E4">
        <v>5.5</v>
      </c>
      <c r="F4">
        <v>62</v>
      </c>
      <c r="G4">
        <v>11000000</v>
      </c>
      <c r="H4" t="s">
        <v>145</v>
      </c>
    </row>
    <row r="5" spans="1:8" x14ac:dyDescent="0.3">
      <c r="A5" t="s">
        <v>108</v>
      </c>
      <c r="B5">
        <v>13</v>
      </c>
      <c r="C5">
        <v>21.6</v>
      </c>
      <c r="D5">
        <v>41.8</v>
      </c>
      <c r="E5">
        <v>5.5</v>
      </c>
      <c r="F5">
        <v>62</v>
      </c>
      <c r="G5">
        <v>11000000</v>
      </c>
      <c r="H5" t="s">
        <v>145</v>
      </c>
    </row>
    <row r="6" spans="1:8" x14ac:dyDescent="0.3">
      <c r="A6" t="s">
        <v>110</v>
      </c>
      <c r="B6">
        <v>4</v>
      </c>
      <c r="C6">
        <v>24.1</v>
      </c>
      <c r="D6">
        <v>82.8</v>
      </c>
      <c r="E6">
        <v>7.5</v>
      </c>
      <c r="F6">
        <v>62</v>
      </c>
      <c r="G6">
        <v>19000000</v>
      </c>
      <c r="H6" t="s">
        <v>145</v>
      </c>
    </row>
    <row r="7" spans="1:8" x14ac:dyDescent="0.3">
      <c r="A7" t="s">
        <v>111</v>
      </c>
      <c r="B7">
        <v>7</v>
      </c>
      <c r="C7">
        <v>23</v>
      </c>
      <c r="D7">
        <v>81.400000000000006</v>
      </c>
      <c r="E7">
        <v>7.5</v>
      </c>
      <c r="F7">
        <v>62</v>
      </c>
      <c r="G7">
        <v>19000000</v>
      </c>
      <c r="H7" t="s">
        <v>145</v>
      </c>
    </row>
    <row r="8" spans="1:8" x14ac:dyDescent="0.3">
      <c r="A8" t="s">
        <v>112</v>
      </c>
      <c r="B8">
        <v>10</v>
      </c>
      <c r="C8">
        <v>21.2</v>
      </c>
      <c r="D8">
        <v>67</v>
      </c>
      <c r="E8">
        <v>7.5</v>
      </c>
      <c r="F8">
        <v>62</v>
      </c>
      <c r="G8">
        <v>19000000</v>
      </c>
      <c r="H8" t="s">
        <v>145</v>
      </c>
    </row>
    <row r="9" spans="1:8" x14ac:dyDescent="0.3">
      <c r="A9" t="s">
        <v>113</v>
      </c>
      <c r="B9">
        <v>13</v>
      </c>
      <c r="C9">
        <v>20.9</v>
      </c>
      <c r="D9">
        <v>52.9</v>
      </c>
      <c r="E9">
        <v>7.5</v>
      </c>
      <c r="F9">
        <v>62</v>
      </c>
      <c r="G9">
        <v>19000000</v>
      </c>
      <c r="H9" t="s">
        <v>145</v>
      </c>
    </row>
    <row r="10" spans="1:8" x14ac:dyDescent="0.3">
      <c r="A10" t="s">
        <v>116</v>
      </c>
      <c r="B10">
        <v>4</v>
      </c>
      <c r="C10">
        <v>55.1</v>
      </c>
      <c r="D10">
        <v>139.69999999999999</v>
      </c>
      <c r="E10">
        <v>11</v>
      </c>
      <c r="F10">
        <v>67</v>
      </c>
      <c r="G10">
        <v>19000000</v>
      </c>
    </row>
    <row r="11" spans="1:8" x14ac:dyDescent="0.3">
      <c r="A11" t="s">
        <v>117</v>
      </c>
      <c r="B11">
        <v>7</v>
      </c>
      <c r="C11">
        <v>49.7</v>
      </c>
      <c r="D11">
        <v>137.5</v>
      </c>
      <c r="E11">
        <v>11</v>
      </c>
      <c r="F11">
        <v>67</v>
      </c>
      <c r="G11">
        <v>19000000</v>
      </c>
    </row>
    <row r="12" spans="1:8" x14ac:dyDescent="0.3">
      <c r="A12" t="s">
        <v>118</v>
      </c>
      <c r="B12">
        <v>10</v>
      </c>
      <c r="C12">
        <v>23</v>
      </c>
      <c r="D12">
        <v>116.3</v>
      </c>
      <c r="E12">
        <v>11</v>
      </c>
      <c r="F12">
        <v>67</v>
      </c>
      <c r="G12">
        <v>19000000</v>
      </c>
    </row>
    <row r="13" spans="1:8" x14ac:dyDescent="0.3">
      <c r="A13" t="s">
        <v>115</v>
      </c>
      <c r="B13">
        <v>13</v>
      </c>
      <c r="C13">
        <v>22.7</v>
      </c>
      <c r="D13">
        <v>95.8</v>
      </c>
      <c r="E13">
        <v>11</v>
      </c>
      <c r="F13">
        <v>67</v>
      </c>
      <c r="G13">
        <v>19000000</v>
      </c>
    </row>
    <row r="14" spans="1:8" x14ac:dyDescent="0.3">
      <c r="A14" t="s">
        <v>119</v>
      </c>
      <c r="B14">
        <v>4</v>
      </c>
      <c r="C14">
        <v>55.1</v>
      </c>
      <c r="D14">
        <v>181.1</v>
      </c>
      <c r="E14">
        <v>15</v>
      </c>
      <c r="F14">
        <v>69</v>
      </c>
      <c r="G14">
        <v>19000000</v>
      </c>
    </row>
    <row r="15" spans="1:8" x14ac:dyDescent="0.3">
      <c r="A15" t="s">
        <v>120</v>
      </c>
      <c r="B15">
        <v>7</v>
      </c>
      <c r="C15">
        <v>49.7</v>
      </c>
      <c r="D15">
        <v>179.6</v>
      </c>
      <c r="E15">
        <v>15</v>
      </c>
      <c r="F15">
        <v>69</v>
      </c>
      <c r="G15">
        <v>19000000</v>
      </c>
    </row>
    <row r="16" spans="1:8" x14ac:dyDescent="0.3">
      <c r="A16" t="s">
        <v>121</v>
      </c>
      <c r="B16">
        <v>10</v>
      </c>
      <c r="C16">
        <v>45</v>
      </c>
      <c r="D16">
        <v>148</v>
      </c>
      <c r="E16">
        <v>15</v>
      </c>
      <c r="F16">
        <v>69</v>
      </c>
      <c r="G16">
        <v>19000000</v>
      </c>
    </row>
    <row r="17" spans="1:7" x14ac:dyDescent="0.3">
      <c r="A17" t="s">
        <v>122</v>
      </c>
      <c r="B17">
        <v>13</v>
      </c>
      <c r="C17">
        <v>22.7</v>
      </c>
      <c r="D17">
        <v>116.6</v>
      </c>
      <c r="E17">
        <v>15</v>
      </c>
      <c r="F17">
        <v>69</v>
      </c>
      <c r="G17">
        <v>19000000</v>
      </c>
    </row>
    <row r="18" spans="1:7" x14ac:dyDescent="0.3">
      <c r="A18" t="s">
        <v>123</v>
      </c>
      <c r="B18">
        <v>4</v>
      </c>
      <c r="C18">
        <v>55.1</v>
      </c>
      <c r="D18">
        <v>241.2</v>
      </c>
      <c r="E18">
        <v>18</v>
      </c>
      <c r="F18">
        <v>69</v>
      </c>
      <c r="G18">
        <v>19000000</v>
      </c>
    </row>
    <row r="19" spans="1:7" x14ac:dyDescent="0.3">
      <c r="A19" t="s">
        <v>124</v>
      </c>
      <c r="B19">
        <v>7</v>
      </c>
      <c r="C19">
        <v>49.7</v>
      </c>
      <c r="D19">
        <v>234.7</v>
      </c>
      <c r="E19">
        <v>18</v>
      </c>
      <c r="F19">
        <v>69</v>
      </c>
      <c r="G19">
        <v>19000000</v>
      </c>
    </row>
    <row r="20" spans="1:7" x14ac:dyDescent="0.3">
      <c r="A20" t="s">
        <v>125</v>
      </c>
      <c r="B20">
        <v>10</v>
      </c>
      <c r="C20">
        <v>45</v>
      </c>
      <c r="D20">
        <v>199.4</v>
      </c>
      <c r="E20">
        <v>18</v>
      </c>
      <c r="F20">
        <v>69</v>
      </c>
      <c r="G20">
        <v>19000000</v>
      </c>
    </row>
    <row r="21" spans="1:7" x14ac:dyDescent="0.3">
      <c r="A21" t="s">
        <v>126</v>
      </c>
      <c r="B21">
        <v>13</v>
      </c>
      <c r="C21">
        <v>40.700000000000003</v>
      </c>
      <c r="D21">
        <v>167</v>
      </c>
      <c r="E21">
        <v>18</v>
      </c>
      <c r="F21">
        <v>69</v>
      </c>
      <c r="G21">
        <v>19000000</v>
      </c>
    </row>
    <row r="22" spans="1:7" x14ac:dyDescent="0.3">
      <c r="A22" t="s">
        <v>127</v>
      </c>
      <c r="B22">
        <v>4</v>
      </c>
      <c r="C22">
        <v>57.3</v>
      </c>
      <c r="D22">
        <v>304</v>
      </c>
      <c r="E22">
        <v>22</v>
      </c>
      <c r="F22">
        <v>63</v>
      </c>
      <c r="G22">
        <v>19000000</v>
      </c>
    </row>
    <row r="23" spans="1:7" x14ac:dyDescent="0.3">
      <c r="A23" t="s">
        <v>128</v>
      </c>
      <c r="B23">
        <v>7</v>
      </c>
      <c r="C23">
        <v>58.2</v>
      </c>
      <c r="D23">
        <v>299.7</v>
      </c>
      <c r="E23">
        <v>22</v>
      </c>
      <c r="F23">
        <v>63</v>
      </c>
      <c r="G23">
        <v>19000000</v>
      </c>
    </row>
    <row r="24" spans="1:7" x14ac:dyDescent="0.3">
      <c r="A24" t="s">
        <v>129</v>
      </c>
      <c r="B24">
        <v>10</v>
      </c>
      <c r="C24">
        <v>58.2</v>
      </c>
      <c r="D24">
        <v>237.2</v>
      </c>
      <c r="E24">
        <v>22</v>
      </c>
      <c r="F24">
        <v>63</v>
      </c>
      <c r="G24">
        <v>19000000</v>
      </c>
    </row>
    <row r="25" spans="1:7" x14ac:dyDescent="0.3">
      <c r="A25" t="s">
        <v>130</v>
      </c>
      <c r="B25">
        <v>13</v>
      </c>
      <c r="C25">
        <v>56.4</v>
      </c>
      <c r="D25">
        <v>202.5</v>
      </c>
      <c r="E25">
        <v>22</v>
      </c>
      <c r="F25">
        <v>63</v>
      </c>
      <c r="G25">
        <v>19000000</v>
      </c>
    </row>
    <row r="26" spans="1:7" x14ac:dyDescent="0.3">
      <c r="A26" t="s">
        <v>131</v>
      </c>
      <c r="B26">
        <v>4</v>
      </c>
      <c r="C26">
        <v>57.3</v>
      </c>
      <c r="D26">
        <v>353.1</v>
      </c>
      <c r="E26">
        <v>26</v>
      </c>
      <c r="F26">
        <v>66</v>
      </c>
      <c r="G26">
        <v>19000000</v>
      </c>
    </row>
    <row r="27" spans="1:7" x14ac:dyDescent="0.3">
      <c r="A27" t="s">
        <v>132</v>
      </c>
      <c r="B27">
        <v>7</v>
      </c>
      <c r="C27">
        <v>58.2</v>
      </c>
      <c r="D27">
        <v>348.6</v>
      </c>
      <c r="E27">
        <v>26</v>
      </c>
      <c r="F27">
        <v>66</v>
      </c>
      <c r="G27">
        <v>19000000</v>
      </c>
    </row>
    <row r="28" spans="1:7" x14ac:dyDescent="0.3">
      <c r="A28" t="s">
        <v>133</v>
      </c>
      <c r="B28">
        <v>10</v>
      </c>
      <c r="C28">
        <v>58.2</v>
      </c>
      <c r="D28">
        <v>292.60000000000002</v>
      </c>
      <c r="E28">
        <v>26</v>
      </c>
      <c r="F28">
        <v>66</v>
      </c>
      <c r="G28">
        <v>19000000</v>
      </c>
    </row>
    <row r="29" spans="1:7" x14ac:dyDescent="0.3">
      <c r="A29" t="s">
        <v>134</v>
      </c>
      <c r="B29">
        <v>13</v>
      </c>
      <c r="C29">
        <v>57</v>
      </c>
      <c r="D29">
        <v>245.3</v>
      </c>
      <c r="E29">
        <v>26</v>
      </c>
      <c r="F29">
        <v>66</v>
      </c>
      <c r="G29">
        <v>19000000</v>
      </c>
    </row>
    <row r="30" spans="1:7" x14ac:dyDescent="0.3">
      <c r="A30" t="s">
        <v>135</v>
      </c>
      <c r="B30">
        <v>4</v>
      </c>
      <c r="C30">
        <v>57.3</v>
      </c>
      <c r="D30">
        <v>397.7</v>
      </c>
      <c r="E30">
        <v>30</v>
      </c>
      <c r="F30">
        <v>67</v>
      </c>
      <c r="G30">
        <v>19000000</v>
      </c>
    </row>
    <row r="31" spans="1:7" x14ac:dyDescent="0.3">
      <c r="A31" t="s">
        <v>136</v>
      </c>
      <c r="B31">
        <v>7</v>
      </c>
      <c r="C31">
        <v>58.2</v>
      </c>
      <c r="D31">
        <v>393.1</v>
      </c>
      <c r="E31">
        <v>30</v>
      </c>
      <c r="F31">
        <v>67</v>
      </c>
      <c r="G31">
        <v>19000000</v>
      </c>
    </row>
    <row r="32" spans="1:7" x14ac:dyDescent="0.3">
      <c r="A32" t="s">
        <v>137</v>
      </c>
      <c r="B32">
        <v>10</v>
      </c>
      <c r="C32">
        <v>58.2</v>
      </c>
      <c r="D32">
        <v>317.10000000000002</v>
      </c>
      <c r="E32">
        <v>30</v>
      </c>
      <c r="F32">
        <v>67</v>
      </c>
      <c r="G32">
        <v>19000000</v>
      </c>
    </row>
    <row r="33" spans="1:7" x14ac:dyDescent="0.3">
      <c r="A33" t="s">
        <v>138</v>
      </c>
      <c r="B33">
        <v>13</v>
      </c>
      <c r="C33">
        <v>57</v>
      </c>
      <c r="D33">
        <v>267.10000000000002</v>
      </c>
      <c r="E33">
        <v>30</v>
      </c>
      <c r="F33">
        <v>67</v>
      </c>
      <c r="G33">
        <v>19000000</v>
      </c>
    </row>
    <row r="34" spans="1:7" x14ac:dyDescent="0.3">
      <c r="A34" t="s">
        <v>139</v>
      </c>
      <c r="B34">
        <v>4</v>
      </c>
      <c r="C34">
        <v>56.5</v>
      </c>
      <c r="D34">
        <v>470.7</v>
      </c>
      <c r="E34">
        <v>37</v>
      </c>
      <c r="F34">
        <v>71</v>
      </c>
      <c r="G34">
        <v>19000000</v>
      </c>
    </row>
    <row r="35" spans="1:7" x14ac:dyDescent="0.3">
      <c r="A35" t="s">
        <v>140</v>
      </c>
      <c r="B35">
        <v>7</v>
      </c>
      <c r="C35">
        <v>56.4</v>
      </c>
      <c r="D35">
        <v>465.7</v>
      </c>
      <c r="E35">
        <v>37</v>
      </c>
      <c r="F35">
        <v>71</v>
      </c>
      <c r="G35">
        <v>19000000</v>
      </c>
    </row>
    <row r="36" spans="1:7" x14ac:dyDescent="0.3">
      <c r="A36" t="s">
        <v>141</v>
      </c>
      <c r="B36">
        <v>10</v>
      </c>
      <c r="C36">
        <v>56.4</v>
      </c>
      <c r="D36">
        <v>398.8</v>
      </c>
      <c r="E36">
        <v>37</v>
      </c>
      <c r="F36">
        <v>71</v>
      </c>
      <c r="G36">
        <v>19000000</v>
      </c>
    </row>
    <row r="37" spans="1:7" x14ac:dyDescent="0.3">
      <c r="A37" t="s">
        <v>142</v>
      </c>
      <c r="B37">
        <v>13</v>
      </c>
      <c r="C37">
        <v>57.7</v>
      </c>
      <c r="D37">
        <v>338.9</v>
      </c>
      <c r="E37">
        <v>37</v>
      </c>
      <c r="F37">
        <v>71</v>
      </c>
      <c r="G37">
        <v>19000000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pipe</vt:lpstr>
      <vt:lpstr>joint</vt:lpstr>
      <vt:lpstr>compressor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용준 권</cp:lastModifiedBy>
  <dcterms:created xsi:type="dcterms:W3CDTF">2015-06-05T18:19:34Z</dcterms:created>
  <dcterms:modified xsi:type="dcterms:W3CDTF">2026-05-22T18:42:34Z</dcterms:modified>
</cp:coreProperties>
</file>